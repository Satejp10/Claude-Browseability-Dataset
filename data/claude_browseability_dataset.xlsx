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03b2d28d5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5ac79ff4cbe245a9"/>
    <x:sheet xmlns:r="http://schemas.openxmlformats.org/officeDocument/2006/relationships" name="README" sheetId="2" r:id="Re3522579a9d44571"/>
    <x:sheet xmlns:r="http://schemas.openxmlformats.org/officeDocument/2006/relationships" name="Summary" sheetId="3" r:id="Rc8f6b1008fec43c2"/>
    <x:sheet xmlns:r="http://schemas.openxmlformats.org/officeDocument/2006/relationships" name="Legend" sheetId="4" r:id="R061faf1bf373426e"/>
    <x:sheet xmlns:r="http://schemas.openxmlformats.org/officeDocument/2006/relationships" name="Sources" sheetId="5" r:id="Racc67011e79f4f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0F172A"/>
      </x:patternFill>
    </x:fill>
    <x:fill>
      <x:patternFill patternType="solid">
        <x:fgColor rgb="F3F4F6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1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E3A8A"/>
      </x:font>
      <x:fill>
        <x:patternFill patternType="solid">
          <x:bgColor rgb="DBEAFE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color rgb="374151"/>
      </x:font>
      <x:fill>
        <x:patternFill patternType="solid"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32f3419cb497c" /><Relationship Type="http://schemas.openxmlformats.org/officeDocument/2006/relationships/theme" Target="/xl/theme/theme1.xml" Id="R8918a6425a704240" /><Relationship Type="http://schemas.openxmlformats.org/officeDocument/2006/relationships/sharedStrings" Target="/xl/sharedStrings.xml" Id="R1a57af6a713b4f2a" /><Relationship Type="http://schemas.openxmlformats.org/officeDocument/2006/relationships/worksheet" Target="/xl/worksheets/sheet1.xml" Id="R5ac79ff4cbe245a9" /><Relationship Type="http://schemas.openxmlformats.org/officeDocument/2006/relationships/worksheet" Target="/xl/worksheets/sheet2.xml" Id="Re3522579a9d44571" /><Relationship Type="http://schemas.openxmlformats.org/officeDocument/2006/relationships/worksheet" Target="/xl/worksheets/sheet3.xml" Id="Rc8f6b1008fec43c2" /><Relationship Type="http://schemas.openxmlformats.org/officeDocument/2006/relationships/worksheet" Target="/xl/worksheets/sheet4.xml" Id="R061faf1bf373426e" /><Relationship Type="http://schemas.openxmlformats.org/officeDocument/2006/relationships/worksheet" Target="/xl/worksheets/sheet5.xml" Id="Racc67011e79f4f5c" /></Relationships>
</file>

<file path=xl/tables/table1.xml><?xml version="1.0" encoding="utf-8"?>
<x:table xmlns:x="http://schemas.openxmlformats.org/spreadsheetml/2006/main" id="1" name="ClaudeAccessDataset" displayName="ClaudeAccessDataset" ref="A1:Q71" headerRowCount="1">
  <x:tableColumns count="17">
    <x:tableColumn id="1" name="ID"/>
    <x:tableColumn id="2" name="Site"/>
    <x:tableColumn id="3" name="Domain"/>
    <x:tableColumn id="4" name="Category"/>
    <x:tableColumn id="5" name="Market/Region"/>
    <x:tableColumn id="6" name="Claude access status"/>
    <x:tableColumn id="7" name="Live fetch impacted?"/>
    <x:tableColumn id="8" name="Risk severity"/>
    <x:tableColumn id="9" name="Affected Claude/AI agents"/>
    <x:tableColumn id="10" name="Primary barrier"/>
    <x:tableColumn id="11" name="Evidence type"/>
    <x:tableColumn id="12" name="Evidence summary"/>
    <x:tableColumn id="13" name="Source URL"/>
    <x:tableColumn id="14" name="Date checked"/>
    <x:tableColumn id="15" name="Recommended workaround"/>
    <x:tableColumn id="16" name="Confidence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4" name="CategorySummaryTable" displayName="CategorySummaryTable" ref="A14:B62" headerRowCount="1">
  <x:tableColumns count="2">
    <x:tableColumn id="1" name="Category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LegendTable" displayName="LegendTable" ref="A1:B9" headerRowCount="1">
  <x:tableColumns count="2">
    <x:tableColumn id="1" name="Field"/>
    <x:tableColumn id="2" name="Meaning"/>
  </x:tableColumns>
  <x:tableStyleInfo name="TableStyleMedium2" showRowStripes="1"/>
</x:table>
</file>

<file path=xl/tables/table4.xml><?xml version="1.0" encoding="utf-8"?>
<x:table xmlns:x="http://schemas.openxmlformats.org/spreadsheetml/2006/main" id="2" name="SourceReferences" displayName="SourceReferences" ref="A1:C8" headerRowCount="1">
  <x:tableColumns count="3">
    <x:tableColumn id="1" name="Source"/>
    <x:tableColumn id="2" name="Why included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53f5ac6f8343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8445c439664e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716f4520fd4b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1656dce0c94ed5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28" hidden="0" customWidth="1"/>
    <x:col min="4" max="4" width="24" hidden="0" customWidth="1"/>
    <x:col min="5" max="5" width="14" hidden="0" customWidth="1"/>
    <x:col min="6" max="6" width="30" hidden="0" customWidth="1"/>
    <x:col min="7" max="7" width="20" hidden="0" customWidth="1"/>
    <x:col min="8" max="8" width="12" hidden="0" customWidth="1"/>
    <x:col min="9" max="9" width="36" hidden="0" customWidth="1"/>
    <x:col min="10" max="10" width="34" hidden="0" customWidth="1"/>
    <x:col min="11" max="11" width="24" hidden="0" customWidth="1"/>
    <x:col min="12" max="12" width="46" hidden="0" customWidth="1"/>
    <x:col min="13" max="13" width="48" hidden="0" customWidth="1"/>
    <x:col min="14" max="14" width="14" hidden="0" customWidth="1"/>
    <x:col min="15" max="15" width="44" hidden="0" customWidth="1"/>
    <x:col min="16" max="16" width="12" hidden="0" customWidth="1"/>
    <x:col min="17" max="17" width="46" hidden="0" customWidth="1"/>
  </x:cols>
  <x:sheetData>
    <x:row r="1" ht="42" customHeight="1">
      <x:c r="A1" s="9" t="str">
        <x:v>ID</x:v>
      </x:c>
      <x:c r="B1" s="9" t="str">
        <x:v>Site</x:v>
      </x:c>
      <x:c r="C1" s="9" t="str">
        <x:v>Domain</x:v>
      </x:c>
      <x:c r="D1" s="9" t="str">
        <x:v>Category</x:v>
      </x:c>
      <x:c r="E1" s="9" t="str">
        <x:v>Market/Region</x:v>
      </x:c>
      <x:c r="F1" s="9" t="str">
        <x:v>Claude access status</x:v>
      </x:c>
      <x:c r="G1" s="9" t="str">
        <x:v>Live fetch impacted?</x:v>
      </x:c>
      <x:c r="H1" s="9" t="str">
        <x:v>Risk severity</x:v>
      </x:c>
      <x:c r="I1" s="9" t="str">
        <x:v>Affected Claude/AI agents</x:v>
      </x:c>
      <x:c r="J1" s="9" t="str">
        <x:v>Primary barrier</x:v>
      </x:c>
      <x:c r="K1" s="9" t="str">
        <x:v>Evidence type</x:v>
      </x:c>
      <x:c r="L1" s="9" t="str">
        <x:v>Evidence summary</x:v>
      </x:c>
      <x:c r="M1" s="9" t="str">
        <x:v>Source URL</x:v>
      </x:c>
      <x:c r="N1" s="9" t="str">
        <x:v>Date checked</x:v>
      </x:c>
      <x:c r="O1" s="9" t="str">
        <x:v>Recommended workaround</x:v>
      </x:c>
      <x:c r="P1" s="9" t="str">
        <x:v>Confidence</x:v>
      </x:c>
      <x:c r="Q1" s="9" t="str">
        <x:v>Notes</x:v>
      </x:c>
    </x:row>
    <x:row r="2">
      <x:c r="A2" s="4" t="n">
        <x:v>1</x:v>
      </x:c>
      <x:c r="B2" s="4" t="str">
        <x:v>Reddit</x:v>
      </x:c>
      <x:c r="C2" s="4" t="str">
        <x:v>reddit.com</x:v>
      </x:c>
      <x:c r="D2" s="4" t="str">
        <x:v>Social / forum</x:v>
      </x:c>
      <x:c r="E2" s="4" t="str">
        <x:v>Global</x:v>
      </x:c>
      <x:c r="F2" s="4" t="str">
        <x:v>Likely blocked / unreliable</x:v>
      </x:c>
      <x:c r="G2" s="4" t="str">
        <x:v>Partial</x:v>
      </x:c>
      <x:c r="H2" s="4" t="str">
        <x:v>High</x:v>
      </x:c>
      <x:c r="I2" s="4" t="str">
        <x:v>Claude crawlers reportedly blocked; non-partner crawlers restricted</x:v>
      </x:c>
      <x:c r="J2" s="4" t="str">
        <x:v>Crawler restrictions; dynamic/login surfaces</x:v>
      </x:c>
      <x:c r="K2" s="4" t="str">
        <x:v>third-party report + robots.txt</x:v>
      </x:c>
      <x:c r="L2" s="4" t="str">
        <x:v>Reddit restricts crawlers without commercial agreements; robots also restricts many URL patterns including comments, APIs, search and JSON.</x:v>
      </x:c>
      <x:c r="M2" s="4" t="str">
        <x:v>https://www.reddit.com/robots.txt</x:v>
      </x:c>
      <x:c r="N2" s="4" t="str">
        <x:v>2026-05-13</x:v>
      </x:c>
      <x:c r="O2" s="4" t="str">
        <x:v>Paste thread text, use screenshots/export, or use official Reddit/API-permitted source.</x:v>
      </x:c>
      <x:c r="P2" s="4" t="str">
        <x:v>Medium</x:v>
      </x:c>
      <x:c r="Q2" s="4" t="str">
        <x:v>Direct Claude-User robots block not visible in robots.txt; access failures are usually policy/API/bot-control related.</x:v>
      </x:c>
    </x:row>
    <x:row r="3">
      <x:c r="A3" s="4" t="n">
        <x:v>2</x:v>
      </x:c>
      <x:c r="B3" s="4" t="str">
        <x:v>X / Twitter</x:v>
      </x:c>
      <x:c r="C3" s="4" t="str">
        <x:v>x.com</x:v>
      </x:c>
      <x:c r="D3" s="4" t="str">
        <x:v>Social / real-time</x:v>
      </x:c>
      <x:c r="E3" s="4" t="str">
        <x:v>Global</x:v>
      </x:c>
      <x:c r="F3" s="4" t="str">
        <x:v>Confirmed broad bot block</x:v>
      </x:c>
      <x:c r="G3" s="4" t="str">
        <x:v>Yes</x:v>
      </x:c>
      <x:c r="H3" s="4" t="str">
        <x:v>High</x:v>
      </x:c>
      <x:c r="I3" s="4" t="str">
        <x:v>User-agent: *</x:v>
      </x:c>
      <x:c r="J3" s="4" t="str">
        <x:v>Wildcard robots block; login/dynamic pages</x:v>
      </x:c>
      <x:c r="K3" s="4" t="str">
        <x:v>robots.txt wildcard</x:v>
      </x:c>
      <x:c r="L3" s="4" t="str">
        <x:v>x.com robots.txt allows selected bots like Googlebot/Bingbot but has User-agent: * Disallow: / for other bots.</x:v>
      </x:c>
      <x:c r="M3" s="4" t="str">
        <x:v>https://x.com/robots.txt</x:v>
      </x:c>
      <x:c r="N3" s="4" t="str">
        <x:v>2026-05-13</x:v>
      </x:c>
      <x:c r="O3" s="4" t="str">
        <x:v>Paste post/thread text; use screenshots; use public article mirrors when available.</x:v>
      </x:c>
      <x:c r="P3" s="4" t="str">
        <x:v>High</x:v>
      </x:c>
      <x:c r="Q3" s="4" t="str">
        <x:v>Even when a post is public, comments, media, and replies are often inaccessible.</x:v>
      </x:c>
    </x:row>
    <x:row r="4">
      <x:c r="A4" s="4" t="n">
        <x:v>3</x:v>
      </x:c>
      <x:c r="B4" s="4" t="str">
        <x:v>LinkedIn</x:v>
      </x:c>
      <x:c r="C4" s="4" t="str">
        <x:v>linkedin.com</x:v>
      </x:c>
      <x:c r="D4" s="4" t="str">
        <x:v>Professional social</x:v>
      </x:c>
      <x:c r="E4" s="4" t="str">
        <x:v>Global</x:v>
      </x:c>
      <x:c r="F4" s="4" t="str">
        <x:v>Confirmed automated-access restricted</x:v>
      </x:c>
      <x:c r="G4" s="4" t="str">
        <x:v>Yes</x:v>
      </x:c>
      <x:c r="H4" s="4" t="str">
        <x:v>High</x:v>
      </x:c>
      <x:c r="I4" s="4" t="str">
        <x:v>Unapproved automated access</x:v>
      </x:c>
      <x:c r="J4" s="4" t="str">
        <x:v>Terms/robots automated access prohibition</x:v>
      </x:c>
      <x:c r="K4" s="4" t="str">
        <x:v>robots.txt policy statement</x:v>
      </x:c>
      <x:c r="L4" s="4" t="str">
        <x:v>LinkedIn states automated access without express permission is strictly prohibited and only approved public search crawlers may be permitted.</x:v>
      </x:c>
      <x:c r="M4" s="4" t="str">
        <x:v>https://www.linkedin.com/robots.txt</x:v>
      </x:c>
      <x:c r="N4" s="4" t="str">
        <x:v>2026-05-13</x:v>
      </x:c>
      <x:c r="O4" s="4" t="str">
        <x:v>Paste post/profile text or use screenshots; rely on user-provided exports.</x:v>
      </x:c>
      <x:c r="P4" s="4" t="str">
        <x:v>High</x:v>
      </x:c>
      <x:c r="Q4" s="4" t="str">
        <x:v>Claude cannot act as your logged-in LinkedIn browser.</x:v>
      </x:c>
    </x:row>
    <x:row r="5">
      <x:c r="A5" s="4" t="n">
        <x:v>4</x:v>
      </x:c>
      <x:c r="B5" s="4" t="str">
        <x:v>Instagram</x:v>
      </x:c>
      <x:c r="C5" s="4" t="str">
        <x:v>instagram.com</x:v>
      </x:c>
      <x:c r="D5" s="4" t="str">
        <x:v>Social / media</x:v>
      </x:c>
      <x:c r="E5" s="4" t="str">
        <x:v>Global</x:v>
      </x:c>
      <x:c r="F5" s="4" t="str">
        <x:v>Auth-gated / unreliable</x:v>
      </x:c>
      <x:c r="G5" s="4" t="str">
        <x:v>Yes</x:v>
      </x:c>
      <x:c r="H5" s="4" t="str">
        <x:v>High</x:v>
      </x:c>
      <x:c r="I5" s="4" t="str">
        <x:v>Unclear; login wall</x:v>
      </x:c>
      <x:c r="J5" s="4" t="str">
        <x:v>Login wall; JS; anti-bot</x:v>
      </x:c>
      <x:c r="K5" s="4" t="str">
        <x:v>login/session barrier</x:v>
      </x:c>
      <x:c r="L5" s="4" t="str">
        <x:v>Public previews may appear but most profile/post/comment access collapses into login/app flows or dynamic content.</x:v>
      </x:c>
      <x:c r="M5" s="4" t="str">
        <x:v>https://www.instagram.com/robots.txt</x:v>
      </x:c>
      <x:c r="N5" s="4" t="str">
        <x:v>2026-05-13</x:v>
      </x:c>
      <x:c r="O5" s="4" t="str">
        <x:v>Paste caption/comments, screenshots, or public embeds.</x:v>
      </x:c>
      <x:c r="P5" s="4" t="str">
        <x:v>Medium</x:v>
      </x:c>
      <x:c r="Q5" s="4" t="str">
        <x:v>Direct robots retrieval returned an internal fetch error during check.</x:v>
      </x:c>
    </x:row>
    <x:row r="6">
      <x:c r="A6" s="4" t="n">
        <x:v>5</x:v>
      </x:c>
      <x:c r="B6" s="4" t="str">
        <x:v>Facebook</x:v>
      </x:c>
      <x:c r="C6" s="4" t="str">
        <x:v>facebook.com</x:v>
      </x:c>
      <x:c r="D6" s="4" t="str">
        <x:v>Social / media</x:v>
      </x:c>
      <x:c r="E6" s="4" t="str">
        <x:v>Global</x:v>
      </x:c>
      <x:c r="F6" s="4" t="str">
        <x:v>Auth-gated / unreliable</x:v>
      </x:c>
      <x:c r="G6" s="4" t="str">
        <x:v>Yes</x:v>
      </x:c>
      <x:c r="H6" s="4" t="str">
        <x:v>High</x:v>
      </x:c>
      <x:c r="I6" s="4" t="str">
        <x:v>Unclear; login wall</x:v>
      </x:c>
      <x:c r="J6" s="4" t="str">
        <x:v>Login wall; JS; anti-bot</x:v>
      </x:c>
      <x:c r="K6" s="4" t="str">
        <x:v>login/session barrier</x:v>
      </x:c>
      <x:c r="L6" s="4" t="str">
        <x:v>Most posts/groups/comments require an authenticated session and cannot be fetched like a public web page.</x:v>
      </x:c>
      <x:c r="M6" s="4" t="str">
        <x:v>https://www.facebook.com/robots.txt</x:v>
      </x:c>
      <x:c r="N6" s="4" t="str">
        <x:v>2026-05-13</x:v>
      </x:c>
      <x:c r="O6" s="4" t="str">
        <x:v>Paste content or screenshots; use public page exports where allowed.</x:v>
      </x:c>
      <x:c r="P6" s="4" t="str">
        <x:v>Medium</x:v>
      </x:c>
      <x:c r="Q6" s="4" t="str">
        <x:v>Robots retrieval was not useful in the web fetch output.</x:v>
      </x:c>
    </x:row>
    <x:row r="7">
      <x:c r="A7" s="4" t="n">
        <x:v>6</x:v>
      </x:c>
      <x:c r="B7" s="4" t="str">
        <x:v>TikTok</x:v>
      </x:c>
      <x:c r="C7" s="4" t="str">
        <x:v>tiktok.com</x:v>
      </x:c>
      <x:c r="D7" s="4" t="str">
        <x:v>Social / video</x:v>
      </x:c>
      <x:c r="E7" s="4" t="str">
        <x:v>Global</x:v>
      </x:c>
      <x:c r="F7" s="4" t="str">
        <x:v>Unreliable / mixed</x:v>
      </x:c>
      <x:c r="G7" s="4" t="str">
        <x:v>Partial</x:v>
      </x:c>
      <x:c r="H7" s="4" t="str">
        <x:v>High</x:v>
      </x:c>
      <x:c r="I7" s="4" t="str">
        <x:v>Unclear; bot controls</x:v>
      </x:c>
      <x:c r="J7" s="4" t="str">
        <x:v>Heavy JS; app/login prompts; anti-bot</x:v>
      </x:c>
      <x:c r="K7" s="4" t="str">
        <x:v>technical barrier</x:v>
      </x:c>
      <x:c r="L7" s="4" t="str">
        <x:v>Video pages often require JS/app flows and bot checks; comments/transcripts are especially unreliable.</x:v>
      </x:c>
      <x:c r="M7" s="4" t="str">
        <x:v>https://www.tiktok.com/robots.txt</x:v>
      </x:c>
      <x:c r="N7" s="4" t="str">
        <x:v>2026-05-13</x:v>
      </x:c>
      <x:c r="O7" s="4" t="str">
        <x:v>Paste transcript/caption/comments or use screenshots.</x:v>
      </x:c>
      <x:c r="P7" s="4" t="str">
        <x:v>Medium</x:v>
      </x:c>
      <x:c r="Q7" s="4" t="str">
        <x:v>Robots retrieval was not useful in the web fetch output.</x:v>
      </x:c>
    </x:row>
    <x:row r="8">
      <x:c r="A8" s="4" t="n">
        <x:v>7</x:v>
      </x:c>
      <x:c r="B8" s="4" t="str">
        <x:v>Quora</x:v>
      </x:c>
      <x:c r="C8" s="4" t="str">
        <x:v>quora.com</x:v>
      </x:c>
      <x:c r="D8" s="4" t="str">
        <x:v>Q&amp;A / forum</x:v>
      </x:c>
      <x:c r="E8" s="4" t="str">
        <x:v>Global</x:v>
      </x:c>
      <x:c r="F8" s="4" t="str">
        <x:v>Unreliable / mixed</x:v>
      </x:c>
      <x:c r="G8" s="4" t="str">
        <x:v>Partial</x:v>
      </x:c>
      <x:c r="H8" s="4" t="str">
        <x:v>Medium</x:v>
      </x:c>
      <x:c r="I8" s="4" t="str">
        <x:v>Unclear</x:v>
      </x:c>
      <x:c r="J8" s="4" t="str">
        <x:v>Login wall; anti-bot</x:v>
      </x:c>
      <x:c r="K8" s="4" t="str">
        <x:v>technical barrier</x:v>
      </x:c>
      <x:c r="L8" s="4" t="str">
        <x:v>Some pages are public, but answers often trigger login/signup walls or anti-scraping patterns.</x:v>
      </x:c>
      <x:c r="M8" s="4" t="str">
        <x:v>https://www.quora.com/robots.txt</x:v>
      </x:c>
      <x:c r="N8" s="4" t="str">
        <x:v>2026-05-13</x:v>
      </x:c>
      <x:c r="O8" s="4" t="str">
        <x:v>Paste the question/answer text directly.</x:v>
      </x:c>
      <x:c r="P8" s="4" t="str">
        <x:v>Medium</x:v>
      </x:c>
      <x:c r="Q8" s="4" t="str">
        <x:v>Access varies by page and region.</x:v>
      </x:c>
    </x:row>
    <x:row r="9">
      <x:c r="A9" s="4" t="n">
        <x:v>8</x:v>
      </x:c>
      <x:c r="B9" s="4" t="str">
        <x:v>Discord</x:v>
      </x:c>
      <x:c r="C9" s="4" t="str">
        <x:v>discord.com</x:v>
      </x:c>
      <x:c r="D9" s="4" t="str">
        <x:v>Private/community chat</x:v>
      </x:c>
      <x:c r="E9" s="4" t="str">
        <x:v>Global</x:v>
      </x:c>
      <x:c r="F9" s="4" t="str">
        <x:v>Auth-gated</x:v>
      </x:c>
      <x:c r="G9" s="4" t="str">
        <x:v>Yes</x:v>
      </x:c>
      <x:c r="H9" s="4" t="str">
        <x:v>High</x:v>
      </x:c>
      <x:c r="I9" s="4" t="str">
        <x:v>N/A</x:v>
      </x:c>
      <x:c r="J9" s="4" t="str">
        <x:v>Private workspace/session required</x:v>
      </x:c>
      <x:c r="K9" s="4" t="str">
        <x:v>login/session barrier</x:v>
      </x:c>
      <x:c r="L9" s="4" t="str">
        <x:v>Most Discord content is server/channel-gated and unavailable without an authenticated account or connector.</x:v>
      </x:c>
      <x:c r="M9" s="4" t="str">
        <x:v>https://discord.com/robots.txt</x:v>
      </x:c>
      <x:c r="N9" s="4" t="str">
        <x:v>2026-05-13</x:v>
      </x:c>
      <x:c r="O9" s="4" t="str">
        <x:v>Export messages, paste content, or use a permitted connector/API.</x:v>
      </x:c>
      <x:c r="P9" s="4" t="str">
        <x:v>High</x:v>
      </x:c>
      <x:c r="Q9" s="4" t="str">
        <x:v>Public invite pages are not equivalent to message access.</x:v>
      </x:c>
    </x:row>
    <x:row r="10">
      <x:c r="A10" s="4" t="n">
        <x:v>9</x:v>
      </x:c>
      <x:c r="B10" s="4" t="str">
        <x:v>Slack</x:v>
      </x:c>
      <x:c r="C10" s="4" t="str">
        <x:v>slack.com</x:v>
      </x:c>
      <x:c r="D10" s="4" t="str">
        <x:v>Private/community chat</x:v>
      </x:c>
      <x:c r="E10" s="4" t="str">
        <x:v>Global</x:v>
      </x:c>
      <x:c r="F10" s="4" t="str">
        <x:v>Auth-gated</x:v>
      </x:c>
      <x:c r="G10" s="4" t="str">
        <x:v>Yes</x:v>
      </x:c>
      <x:c r="H10" s="4" t="str">
        <x:v>High</x:v>
      </x:c>
      <x:c r="I10" s="4" t="str">
        <x:v>N/A</x:v>
      </x:c>
      <x:c r="J10" s="4" t="str">
        <x:v>Private workspace/session required</x:v>
      </x:c>
      <x:c r="K10" s="4" t="str">
        <x:v>login/session barrier</x:v>
      </x:c>
      <x:c r="L10" s="4" t="str">
        <x:v>Slack messages/files require workspace authentication and permissions.</x:v>
      </x:c>
      <x:c r="M10" s="4" t="str">
        <x:v>https://slack.com/robots.txt</x:v>
      </x:c>
      <x:c r="N10" s="4" t="str">
        <x:v>2026-05-13</x:v>
      </x:c>
      <x:c r="O10" s="4" t="str">
        <x:v>Use a connector/export or paste relevant messages.</x:v>
      </x:c>
      <x:c r="P10" s="4" t="str">
        <x:v>High</x:v>
      </x:c>
      <x:c r="Q10" s="4" t="str">
        <x:v>Not a normal public-web target.</x:v>
      </x:c>
    </x:row>
    <x:row r="11">
      <x:c r="A11" s="4" t="n">
        <x:v>10</x:v>
      </x:c>
      <x:c r="B11" s="4" t="str">
        <x:v>Google Docs / Drive private links</x:v>
      </x:c>
      <x:c r="C11" s="4" t="str">
        <x:v>docs.google.com / drive.google.com</x:v>
      </x:c>
      <x:c r="D11" s="4" t="str">
        <x:v>Docs / cloud files</x:v>
      </x:c>
      <x:c r="E11" s="4" t="str">
        <x:v>Global</x:v>
      </x:c>
      <x:c r="F11" s="4" t="str">
        <x:v>Auth-gated unless public</x:v>
      </x:c>
      <x:c r="G11" s="4" t="str">
        <x:v>Yes</x:v>
      </x:c>
      <x:c r="H11" s="4" t="str">
        <x:v>High</x:v>
      </x:c>
      <x:c r="I11" s="4" t="str">
        <x:v>N/A</x:v>
      </x:c>
      <x:c r="J11" s="4" t="str">
        <x:v>Permissions/session required</x:v>
      </x:c>
      <x:c r="K11" s="4" t="str">
        <x:v>auth barrier</x:v>
      </x:c>
      <x:c r="L11" s="4" t="str">
        <x:v>Private docs and Drive files require account permissions; even public docs may render via JS and not expose full content cleanly.</x:v>
      </x:c>
      <x:c r="M11" s="4" t="str">
        <x:v>https://docs.google.com/robots.txt</x:v>
      </x:c>
      <x:c r="N11" s="4" t="str">
        <x:v>2026-05-13</x:v>
      </x:c>
      <x:c r="O11" s="4" t="str">
        <x:v>Upload/export as PDF/DOCX/TXT or make a public readable copy.</x:v>
      </x:c>
      <x:c r="P11" s="4" t="str">
        <x:v>High</x:v>
      </x:c>
      <x:c r="Q11" s="4" t="str">
        <x:v>User-owned files should usually be uploaded rather than fetched.</x:v>
      </x:c>
    </x:row>
    <x:row r="12">
      <x:c r="A12" s="4" t="n">
        <x:v>11</x:v>
      </x:c>
      <x:c r="B12" s="4" t="str">
        <x:v>Notion private pages</x:v>
      </x:c>
      <x:c r="C12" s="4" t="str">
        <x:v>notion.so</x:v>
      </x:c>
      <x:c r="D12" s="4" t="str">
        <x:v>Docs / workspace</x:v>
      </x:c>
      <x:c r="E12" s="4" t="str">
        <x:v>Global</x:v>
      </x:c>
      <x:c r="F12" s="4" t="str">
        <x:v>Auth-gated unless public</x:v>
      </x:c>
      <x:c r="G12" s="4" t="str">
        <x:v>Yes</x:v>
      </x:c>
      <x:c r="H12" s="4" t="str">
        <x:v>High</x:v>
      </x:c>
      <x:c r="I12" s="4" t="str">
        <x:v>N/A</x:v>
      </x:c>
      <x:c r="J12" s="4" t="str">
        <x:v>Permissions/session required</x:v>
      </x:c>
      <x:c r="K12" s="4" t="str">
        <x:v>auth barrier</x:v>
      </x:c>
      <x:c r="L12" s="4" t="str">
        <x:v>Private Notion workspaces require authentication; public pages are mixed due to JS rendering.</x:v>
      </x:c>
      <x:c r="M12" s="4" t="str">
        <x:v>https://www.notion.so/robots.txt</x:v>
      </x:c>
      <x:c r="N12" s="4" t="str">
        <x:v>2026-05-13</x:v>
      </x:c>
      <x:c r="O12" s="4" t="str">
        <x:v>Export Markdown/PDF or share a public static page.</x:v>
      </x:c>
      <x:c r="P12" s="4" t="str">
        <x:v>High</x:v>
      </x:c>
      <x:c r="Q12" s="4" t="str">
        <x:v>Useful for private docs only via export/connector.</x:v>
      </x:c>
    </x:row>
    <x:row r="13">
      <x:c r="A13" s="4" t="n">
        <x:v>12</x:v>
      </x:c>
      <x:c r="B13" s="4" t="str">
        <x:v>Figma files</x:v>
      </x:c>
      <x:c r="C13" s="4" t="str">
        <x:v>figma.com</x:v>
      </x:c>
      <x:c r="D13" s="4" t="str">
        <x:v>Design / SaaS</x:v>
      </x:c>
      <x:c r="E13" s="4" t="str">
        <x:v>Global</x:v>
      </x:c>
      <x:c r="F13" s="4" t="str">
        <x:v>Auth-gated / not text-readable</x:v>
      </x:c>
      <x:c r="G13" s="4" t="str">
        <x:v>Yes</x:v>
      </x:c>
      <x:c r="H13" s="4" t="str">
        <x:v>High</x:v>
      </x:c>
      <x:c r="I13" s="4" t="str">
        <x:v>N/A</x:v>
      </x:c>
      <x:c r="J13" s="4" t="str">
        <x:v>Permissions; canvas rendering</x:v>
      </x:c>
      <x:c r="K13" s="4" t="str">
        <x:v>auth + visual barrier</x:v>
      </x:c>
      <x:c r="L13" s="4" t="str">
        <x:v>Figma design content usually requires file permission and is not a plain webpage for text fetch.</x:v>
      </x:c>
      <x:c r="M13" s="4" t="str">
        <x:v>https://www.figma.com/robots.txt</x:v>
      </x:c>
      <x:c r="N13" s="4" t="str">
        <x:v>2026-05-13</x:v>
      </x:c>
      <x:c r="O13" s="4" t="str">
        <x:v>Export frames/screenshots/PDF or provide a share link plus screenshots.</x:v>
      </x:c>
      <x:c r="P13" s="4" t="str">
        <x:v>High</x:v>
      </x:c>
      <x:c r="Q13" s="4" t="str">
        <x:v>Claude needs exported artifacts to analyze design precisely.</x:v>
      </x:c>
    </x:row>
    <x:row r="14">
      <x:c r="A14" s="4" t="n">
        <x:v>13</x:v>
      </x:c>
      <x:c r="B14" s="4" t="str">
        <x:v>Medium</x:v>
      </x:c>
      <x:c r="C14" s="4" t="str">
        <x:v>medium.com</x:v>
      </x:c>
      <x:c r="D14" s="4" t="str">
        <x:v>Publishing / blogs</x:v>
      </x:c>
      <x:c r="E14" s="4" t="str">
        <x:v>Global</x:v>
      </x:c>
      <x:c r="F14" s="4" t="str">
        <x:v>Unreliable / mixed</x:v>
      </x:c>
      <x:c r="G14" s="4" t="str">
        <x:v>Partial</x:v>
      </x:c>
      <x:c r="H14" s="4" t="str">
        <x:v>Medium</x:v>
      </x:c>
      <x:c r="I14" s="4" t="str">
        <x:v>Unclear</x:v>
      </x:c>
      <x:c r="J14" s="4" t="str">
        <x:v>Membership/paywall; dynamic rendering</x:v>
      </x:c>
      <x:c r="K14" s="4" t="str">
        <x:v>paywall + technical barrier</x:v>
      </x:c>
      <x:c r="L14" s="4" t="str">
        <x:v>Public posts often work, but member-only posts and app/paywall surfaces do not.</x:v>
      </x:c>
      <x:c r="M14" s="4" t="str">
        <x:v>https://medium.com/robots.txt</x:v>
      </x:c>
      <x:c r="N14" s="4" t="str">
        <x:v>2026-05-13</x:v>
      </x:c>
      <x:c r="O14" s="4" t="str">
        <x:v>Paste post text or use the author’s canonical blog if available.</x:v>
      </x:c>
      <x:c r="P14" s="4" t="str">
        <x:v>Medium</x:v>
      </x:c>
      <x:c r="Q14" s="4" t="str">
        <x:v>Access varies by post.</x:v>
      </x:c>
    </x:row>
    <x:row r="15">
      <x:c r="A15" s="4" t="n">
        <x:v>14</x:v>
      </x:c>
      <x:c r="B15" s="4" t="str">
        <x:v>Substack</x:v>
      </x:c>
      <x:c r="C15" s="4" t="str">
        <x:v>substack.com</x:v>
      </x:c>
      <x:c r="D15" s="4" t="str">
        <x:v>Newsletter / blogs</x:v>
      </x:c>
      <x:c r="E15" s="4" t="str">
        <x:v>Global</x:v>
      </x:c>
      <x:c r="F15" s="4" t="str">
        <x:v>Unreliable / mixed</x:v>
      </x:c>
      <x:c r="G15" s="4" t="str">
        <x:v>Partial</x:v>
      </x:c>
      <x:c r="H15" s="4" t="str">
        <x:v>Medium</x:v>
      </x:c>
      <x:c r="I15" s="4" t="str">
        <x:v>Unclear</x:v>
      </x:c>
      <x:c r="J15" s="4" t="str">
        <x:v>Paid posts; email-only posts; dynamic pages</x:v>
      </x:c>
      <x:c r="K15" s="4" t="str">
        <x:v>paywall/auth barrier</x:v>
      </x:c>
      <x:c r="L15" s="4" t="str">
        <x:v>Free public posts may work; paid subscriber posts and email-only material do not.</x:v>
      </x:c>
      <x:c r="M15" s="4" t="str">
        <x:v>https://substack.com/robots.txt</x:v>
      </x:c>
      <x:c r="N15" s="4" t="str">
        <x:v>2026-05-13</x:v>
      </x:c>
      <x:c r="O15" s="4" t="str">
        <x:v>Paste article text or export email content.</x:v>
      </x:c>
      <x:c r="P15" s="4" t="str">
        <x:v>Medium</x:v>
      </x:c>
      <x:c r="Q15" s="4" t="str">
        <x:v>Individual publication domains may have their own robots rules.</x:v>
      </x:c>
    </x:row>
    <x:row r="16">
      <x:c r="A16" s="4" t="n">
        <x:v>15</x:v>
      </x:c>
      <x:c r="B16" s="4" t="str">
        <x:v>Patreon</x:v>
      </x:c>
      <x:c r="C16" s="4" t="str">
        <x:v>patreon.com</x:v>
      </x:c>
      <x:c r="D16" s="4" t="str">
        <x:v>Creator subscription</x:v>
      </x:c>
      <x:c r="E16" s="4" t="str">
        <x:v>Global</x:v>
      </x:c>
      <x:c r="F16" s="4" t="str">
        <x:v>Auth/subscription-gated</x:v>
      </x:c>
      <x:c r="G16" s="4" t="str">
        <x:v>Yes</x:v>
      </x:c>
      <x:c r="H16" s="4" t="str">
        <x:v>High</x:v>
      </x:c>
      <x:c r="I16" s="4" t="str">
        <x:v>N/A</x:v>
      </x:c>
      <x:c r="J16" s="4" t="str">
        <x:v>Paid member wall</x:v>
      </x:c>
      <x:c r="K16" s="4" t="str">
        <x:v>auth/paywall barrier</x:v>
      </x:c>
      <x:c r="L16" s="4" t="str">
        <x:v>Most creator posts are gated by account and membership status.</x:v>
      </x:c>
      <x:c r="M16" s="4" t="str">
        <x:v>https://www.patreon.com/robots.txt</x:v>
      </x:c>
      <x:c r="N16" s="4" t="str">
        <x:v>2026-05-13</x:v>
      </x:c>
      <x:c r="O16" s="4" t="str">
        <x:v>Paste content you have rights to access.</x:v>
      </x:c>
      <x:c r="P16" s="4" t="str">
        <x:v>High</x:v>
      </x:c>
      <x:c r="Q16" s="4" t="str">
        <x:v>Public previews are limited.</x:v>
      </x:c>
    </x:row>
    <x:row r="17">
      <x:c r="A17" s="4" t="n">
        <x:v>16</x:v>
      </x:c>
      <x:c r="B17" s="4" t="str">
        <x:v>The Atlantic</x:v>
      </x:c>
      <x:c r="C17" s="4" t="str">
        <x:v>theatlantic.com</x:v>
      </x:c>
      <x:c r="D17" s="4" t="str">
        <x:v>News / magazine</x:v>
      </x:c>
      <x:c r="E17" s="4" t="str">
        <x:v>US</x:v>
      </x:c>
      <x:c r="F17" s="4" t="str">
        <x:v>Confirmed Claude live-fetch block</x:v>
      </x:c>
      <x:c r="G17" s="4" t="str">
        <x:v>Yes</x:v>
      </x:c>
      <x:c r="H17" s="4" t="str">
        <x:v>High</x:v>
      </x:c>
      <x:c r="I17" s="4" t="str">
        <x:v>ClaudeBot; Claude-SearchBot; Claude-User; Claude-Web; anthropic-ai</x:v>
      </x:c>
      <x:c r="J17" s="4" t="str">
        <x:v>Robots disallow for Claude agents</x:v>
      </x:c>
      <x:c r="K17" s="4" t="str">
        <x:v>robots.txt explicit Claude-User</x:v>
      </x:c>
      <x:c r="L17" s="4" t="str">
        <x:v>Robots.txt explicitly disallows ClaudeBot, Claude-SearchBot, Claude-User, Claude-Web and anthropic-ai.</x:v>
      </x:c>
      <x:c r="M17" s="4" t="str">
        <x:v>https://www.theatlantic.com/robots.txt</x:v>
      </x:c>
      <x:c r="N17" s="4" t="str">
        <x:v>2026-05-13</x:v>
      </x:c>
      <x:c r="O17" s="4" t="str">
        <x:v>Paste article text or use licensed/public excerpts.</x:v>
      </x:c>
      <x:c r="P17" s="4" t="str">
        <x:v>High</x:v>
      </x:c>
      <x:c r="Q17" s="4" t="str">
        <x:v>Also uses content signals: ai-input=no, ai-train=no for some agents.</x:v>
      </x:c>
    </x:row>
    <x:row r="18">
      <x:c r="A18" s="4" t="n">
        <x:v>17</x:v>
      </x:c>
      <x:c r="B18" s="4" t="str">
        <x:v>WIRED</x:v>
      </x:c>
      <x:c r="C18" s="4" t="str">
        <x:v>wired.com</x:v>
      </x:c>
      <x:c r="D18" s="4" t="str">
        <x:v>News / tech</x:v>
      </x:c>
      <x:c r="E18" s="4" t="str">
        <x:v>US</x:v>
      </x:c>
      <x:c r="F18" s="4" t="str">
        <x:v>Confirmed Claude live-fetch block</x:v>
      </x:c>
      <x:c r="G18" s="4" t="str">
        <x:v>Yes</x:v>
      </x:c>
      <x:c r="H18" s="4" t="str">
        <x:v>High</x:v>
      </x:c>
      <x:c r="I18" s="4" t="str">
        <x:v>ClaudeBot; Claude-SearchBot; Claude-User</x:v>
      </x:c>
      <x:c r="J18" s="4" t="str">
        <x:v>Robots disallow for Claude agents</x:v>
      </x:c>
      <x:c r="K18" s="4" t="str">
        <x:v>robots.txt explicit Claude-User</x:v>
      </x:c>
      <x:c r="L18" s="4" t="str">
        <x:v>Robots.txt groups ClaudeBot, Claude-SearchBot and Claude-User with Disallow: /.</x:v>
      </x:c>
      <x:c r="M18" s="4" t="str">
        <x:v>https://www.wired.com/robots.txt</x:v>
      </x:c>
      <x:c r="N18" s="4" t="str">
        <x:v>2026-05-13</x:v>
      </x:c>
      <x:c r="O18" s="4" t="str">
        <x:v>Paste article text or use available excerpts/official RSS where allowed.</x:v>
      </x:c>
      <x:c r="P18" s="4" t="str">
        <x:v>High</x:v>
      </x:c>
      <x:c r="Q18" s="4" t="str">
        <x:v>Condé Nast pattern also appears on New Yorker.</x:v>
      </x:c>
    </x:row>
    <x:row r="19">
      <x:c r="A19" s="4" t="n">
        <x:v>18</x:v>
      </x:c>
      <x:c r="B19" s="4" t="str">
        <x:v>Reuters</x:v>
      </x:c>
      <x:c r="C19" s="4" t="str">
        <x:v>reuters.com</x:v>
      </x:c>
      <x:c r="D19" s="4" t="str">
        <x:v>News / wire</x:v>
      </x:c>
      <x:c r="E19" s="4" t="str">
        <x:v>Global</x:v>
      </x:c>
      <x:c r="F19" s="4" t="str">
        <x:v>Confirmed non-allowlisted bot block</x:v>
      </x:c>
      <x:c r="G19" s="4" t="str">
        <x:v>Yes</x:v>
      </x:c>
      <x:c r="H19" s="4" t="str">
        <x:v>High</x:v>
      </x:c>
      <x:c r="I19" s="4" t="str">
        <x:v>User-agent: *; Claude not allowlisted</x:v>
      </x:c>
      <x:c r="J19" s="4" t="str">
        <x:v>Only allowlisted bots permitted; all others blocked</x:v>
      </x:c>
      <x:c r="K19" s="4" t="str">
        <x:v>robots.txt wildcard after allowlist</x:v>
      </x:c>
      <x:c r="L19" s="4" t="str">
        <x:v>Reuters allows a long list of specific bots, then blocks all other bots with User-agent: * Disallow: /. Claude agents are not in the visible allowlist.</x:v>
      </x:c>
      <x:c r="M19" s="4" t="str">
        <x:v>https://www.reuters.com/robots.txt</x:v>
      </x:c>
      <x:c r="N19" s="4" t="str">
        <x:v>2026-05-13</x:v>
      </x:c>
      <x:c r="O19" s="4" t="str">
        <x:v>Use article excerpts, licensed sources, or cite other accessible reports.</x:v>
      </x:c>
      <x:c r="P19" s="4" t="str">
        <x:v>High</x:v>
      </x:c>
      <x:c r="Q19" s="4" t="str">
        <x:v>ChatGPT-User appears allowlisted, but Claude-User does not.</x:v>
      </x:c>
    </x:row>
    <x:row r="20">
      <x:c r="A20" s="4" t="n">
        <x:v>19</x:v>
      </x:c>
      <x:c r="B20" s="4" t="str">
        <x:v>Associated Press / AP News</x:v>
      </x:c>
      <x:c r="C20" s="4" t="str">
        <x:v>apnews.com</x:v>
      </x:c>
      <x:c r="D20" s="4" t="str">
        <x:v>News / wire</x:v>
      </x:c>
      <x:c r="E20" s="4" t="str">
        <x:v>US/global</x:v>
      </x:c>
      <x:c r="F20" s="4" t="str">
        <x:v>Confirmed Claude live-fetch block</x:v>
      </x:c>
      <x:c r="G20" s="4" t="str">
        <x:v>Yes</x:v>
      </x:c>
      <x:c r="H20" s="4" t="str">
        <x:v>High</x:v>
      </x:c>
      <x:c r="I20" s="4" t="str">
        <x:v>ClaudeBot; Claude-Web; Claude-User; Claude-SearchBot; anthropic-ai</x:v>
      </x:c>
      <x:c r="J20" s="4" t="str">
        <x:v>Robots disallow for Claude agents</x:v>
      </x:c>
      <x:c r="K20" s="4" t="str">
        <x:v>robots.txt explicit Claude-User</x:v>
      </x:c>
      <x:c r="L20" s="4" t="str">
        <x:v>Robots.txt explicitly disallows ClaudeBot, Claude-Web, Claude-User, Claude-SearchBot and anthropic-ai.</x:v>
      </x:c>
      <x:c r="M20" s="4" t="str">
        <x:v>https://apnews.com/robots.txt</x:v>
      </x:c>
      <x:c r="N20" s="4" t="str">
        <x:v>2026-05-13</x:v>
      </x:c>
      <x:c r="O20" s="4" t="str">
        <x:v>Use short excerpts or alternative accessible syndication pages.</x:v>
      </x:c>
      <x:c r="P20" s="4" t="str">
        <x:v>High</x:v>
      </x:c>
      <x:c r="Q20" s="4" t="str">
        <x:v>Strong evidence.</x:v>
      </x:c>
    </x:row>
    <x:row r="21">
      <x:c r="A21" s="4" t="n">
        <x:v>20</x:v>
      </x:c>
      <x:c r="B21" s="4" t="str">
        <x:v>The Guardian</x:v>
      </x:c>
      <x:c r="C21" s="4" t="str">
        <x:v>theguardian.com</x:v>
      </x:c>
      <x:c r="D21" s="4" t="str">
        <x:v>News / newspaper</x:v>
      </x:c>
      <x:c r="E21" s="4" t="str">
        <x:v>UK/global</x:v>
      </x:c>
      <x:c r="F21" s="4" t="str">
        <x:v>Confirmed Claude live-fetch block</x:v>
      </x:c>
      <x:c r="G21" s="4" t="str">
        <x:v>Yes</x:v>
      </x:c>
      <x:c r="H21" s="4" t="str">
        <x:v>High</x:v>
      </x:c>
      <x:c r="I21" s="4" t="str">
        <x:v>ClaudeBot; Claude-SearchBot; Claude-User; anthropic-ai</x:v>
      </x:c>
      <x:c r="J21" s="4" t="str">
        <x:v>Robots disallow + LLM use restriction</x:v>
      </x:c>
      <x:c r="K21" s="4" t="str">
        <x:v>robots.txt explicit Claude-User</x:v>
      </x:c>
      <x:c r="L21" s="4" t="str">
        <x:v>Robots.txt states LLM/AI uses are not permitted and disallows ClaudeBot, Claude-SearchBot, Claude-User and anthropic-ai.</x:v>
      </x:c>
      <x:c r="M21" s="4" t="str">
        <x:v>https://www.theguardian.com/robots.txt</x:v>
      </x:c>
      <x:c r="N21" s="4" t="str">
        <x:v>2026-05-13</x:v>
      </x:c>
      <x:c r="O21" s="4" t="str">
        <x:v>Paste article text or use public RSS/excerpts within rights limits.</x:v>
      </x:c>
      <x:c r="P21" s="4" t="str">
        <x:v>High</x:v>
      </x:c>
      <x:c r="Q21" s="4" t="str">
        <x:v>The site also publishes a license URL in robots.txt.</x:v>
      </x:c>
    </x:row>
    <x:row r="22">
      <x:c r="A22" s="4" t="n">
        <x:v>21</x:v>
      </x:c>
      <x:c r="B22" s="4" t="str">
        <x:v>The New Yorker</x:v>
      </x:c>
      <x:c r="C22" s="4" t="str">
        <x:v>newyorker.com</x:v>
      </x:c>
      <x:c r="D22" s="4" t="str">
        <x:v>News / magazine</x:v>
      </x:c>
      <x:c r="E22" s="4" t="str">
        <x:v>US</x:v>
      </x:c>
      <x:c r="F22" s="4" t="str">
        <x:v>Confirmed Claude live-fetch block</x:v>
      </x:c>
      <x:c r="G22" s="4" t="str">
        <x:v>Yes</x:v>
      </x:c>
      <x:c r="H22" s="4" t="str">
        <x:v>High</x:v>
      </x:c>
      <x:c r="I22" s="4" t="str">
        <x:v>ClaudeBot; Claude-SearchBot; Claude-User</x:v>
      </x:c>
      <x:c r="J22" s="4" t="str">
        <x:v>Robots disallow for Claude agents</x:v>
      </x:c>
      <x:c r="K22" s="4" t="str">
        <x:v>robots.txt explicit Claude-User</x:v>
      </x:c>
      <x:c r="L22" s="4" t="str">
        <x:v>Robots.txt groups ClaudeBot, Claude-SearchBot and Claude-User with Disallow: /.</x:v>
      </x:c>
      <x:c r="M22" s="4" t="str">
        <x:v>https://www.newyorker.com/robots.txt</x:v>
      </x:c>
      <x:c r="N22" s="4" t="str">
        <x:v>2026-05-13</x:v>
      </x:c>
      <x:c r="O22" s="4" t="str">
        <x:v>Paste article text or use article excerpts.</x:v>
      </x:c>
      <x:c r="P22" s="4" t="str">
        <x:v>High</x:v>
      </x:c>
      <x:c r="Q22" s="4" t="str">
        <x:v>Condé Nast pattern.</x:v>
      </x:c>
    </x:row>
    <x:row r="23">
      <x:c r="A23" s="4" t="n">
        <x:v>22</x:v>
      </x:c>
      <x:c r="B23" s="4" t="str">
        <x:v>The Verge</x:v>
      </x:c>
      <x:c r="C23" s="4" t="str">
        <x:v>theverge.com</x:v>
      </x:c>
      <x:c r="D23" s="4" t="str">
        <x:v>News / tech</x:v>
      </x:c>
      <x:c r="E23" s="4" t="str">
        <x:v>US</x:v>
      </x:c>
      <x:c r="F23" s="4" t="str">
        <x:v>Confirmed Claude live-fetch block</x:v>
      </x:c>
      <x:c r="G23" s="4" t="str">
        <x:v>Yes</x:v>
      </x:c>
      <x:c r="H23" s="4" t="str">
        <x:v>High</x:v>
      </x:c>
      <x:c r="I23" s="4" t="str">
        <x:v>ClaudeBot; Claude-SearchBot; Claude-User; Claude-Web; anthropic-ai</x:v>
      </x:c>
      <x:c r="J23" s="4" t="str">
        <x:v>Robots disallow for Claude agents</x:v>
      </x:c>
      <x:c r="K23" s="4" t="str">
        <x:v>robots.txt explicit Claude-User</x:v>
      </x:c>
      <x:c r="L23" s="4" t="str">
        <x:v>Robots.txt disallows Claude-User, Claude-SearchBot, Claude-Web, ClaudeBot and anthropic-ai except /sp/.</x:v>
      </x:c>
      <x:c r="M23" s="4" t="str">
        <x:v>https://www.theverge.com/robots.txt</x:v>
      </x:c>
      <x:c r="N23" s="4" t="str">
        <x:v>2026-05-13</x:v>
      </x:c>
      <x:c r="O23" s="4" t="str">
        <x:v>Paste article text or use accessible article snippets.</x:v>
      </x:c>
      <x:c r="P23" s="4" t="str">
        <x:v>High</x:v>
      </x:c>
      <x:c r="Q23" s="4" t="str">
        <x:v>Important because tech/news topics often cite The Verge.</x:v>
      </x:c>
    </x:row>
    <x:row r="24">
      <x:c r="A24" s="4" t="n">
        <x:v>23</x:v>
      </x:c>
      <x:c r="B24" s="4" t="str">
        <x:v>Vox</x:v>
      </x:c>
      <x:c r="C24" s="4" t="str">
        <x:v>vox.com</x:v>
      </x:c>
      <x:c r="D24" s="4" t="str">
        <x:v>News / explainer</x:v>
      </x:c>
      <x:c r="E24" s="4" t="str">
        <x:v>US</x:v>
      </x:c>
      <x:c r="F24" s="4" t="str">
        <x:v>Confirmed Claude crawler block; live agent unclear</x:v>
      </x:c>
      <x:c r="G24" s="4" t="str">
        <x:v>Partial</x:v>
      </x:c>
      <x:c r="H24" s="4" t="str">
        <x:v>High</x:v>
      </x:c>
      <x:c r="I24" s="4" t="str">
        <x:v>ClaudeBot; Claude-Web; anthropic-ai</x:v>
      </x:c>
      <x:c r="J24" s="4" t="str">
        <x:v>Robots disallow for ClaudeBot/Claude-Web</x:v>
      </x:c>
      <x:c r="K24" s="4" t="str">
        <x:v>robots.txt ClaudeBot/Claude-Web</x:v>
      </x:c>
      <x:c r="L24" s="4" t="str">
        <x:v>Robots.txt blocks ClaudeBot, Claude-Web and anthropic-ai; Claude-User not visible in fetched snippet.</x:v>
      </x:c>
      <x:c r="M24" s="4" t="str">
        <x:v>https://www.vox.com/robots.txt</x:v>
      </x:c>
      <x:c r="N24" s="4" t="str">
        <x:v>2026-05-13</x:v>
      </x:c>
      <x:c r="O24" s="4" t="str">
        <x:v>Paste article text or use accessible excerpts.</x:v>
      </x:c>
      <x:c r="P24" s="4" t="str">
        <x:v>Medium</x:v>
      </x:c>
      <x:c r="Q24" s="4" t="str">
        <x:v>Vox Media domains vary; The Verge explicitly blocks Claude-User.</x:v>
      </x:c>
    </x:row>
    <x:row r="25">
      <x:c r="A25" s="4" t="n">
        <x:v>24</x:v>
      </x:c>
      <x:c r="B25" s="4" t="str">
        <x:v>Financial Times</x:v>
      </x:c>
      <x:c r="C25" s="4" t="str">
        <x:v>ft.com</x:v>
      </x:c>
      <x:c r="D25" s="4" t="str">
        <x:v>News / business</x:v>
      </x:c>
      <x:c r="E25" s="4" t="str">
        <x:v>UK/global</x:v>
      </x:c>
      <x:c r="F25" s="4" t="str">
        <x:v>Confirmed Claude crawler block; live agent unclear</x:v>
      </x:c>
      <x:c r="G25" s="4" t="str">
        <x:v>Partial</x:v>
      </x:c>
      <x:c r="H25" s="4" t="str">
        <x:v>High</x:v>
      </x:c>
      <x:c r="I25" s="4" t="str">
        <x:v>ClaudeBot; Claude-Web; anthropic-ai</x:v>
      </x:c>
      <x:c r="J25" s="4" t="str">
        <x:v>Robots disallow + AI/ML prohibition statement</x:v>
      </x:c>
      <x:c r="K25" s="4" t="str">
        <x:v>robots.txt ClaudeBot/Claude-Web</x:v>
      </x:c>
      <x:c r="L25" s="4" t="str">
        <x:v>Robots.txt expressly prohibits ML/AI use and disallows anthropic-ai, Claude-Web and ClaudeBot.</x:v>
      </x:c>
      <x:c r="M25" s="4" t="str">
        <x:v>https://www.ft.com/robots.txt</x:v>
      </x:c>
      <x:c r="N25" s="4" t="str">
        <x:v>2026-05-13</x:v>
      </x:c>
      <x:c r="O25" s="4" t="str">
        <x:v>Paste text you have access to; use licensed/public summaries.</x:v>
      </x:c>
      <x:c r="P25" s="4" t="str">
        <x:v>High</x:v>
      </x:c>
      <x:c r="Q25" s="4" t="str">
        <x:v>Subscription paywall is an additional barrier.</x:v>
      </x:c>
    </x:row>
    <x:row r="26">
      <x:c r="A26" s="4" t="n">
        <x:v>25</x:v>
      </x:c>
      <x:c r="B26" s="4" t="str">
        <x:v>Washington Post</x:v>
      </x:c>
      <x:c r="C26" s="4" t="str">
        <x:v>washingtonpost.com</x:v>
      </x:c>
      <x:c r="D26" s="4" t="str">
        <x:v>News / newspaper</x:v>
      </x:c>
      <x:c r="E26" s="4" t="str">
        <x:v>US</x:v>
      </x:c>
      <x:c r="F26" s="4" t="str">
        <x:v>Confirmed Claude crawler block; live agent unclear</x:v>
      </x:c>
      <x:c r="G26" s="4" t="str">
        <x:v>Partial</x:v>
      </x:c>
      <x:c r="H26" s="4" t="str">
        <x:v>High</x:v>
      </x:c>
      <x:c r="I26" s="4" t="str">
        <x:v>ClaudeBot; Claude-Web; anthropic-ai</x:v>
      </x:c>
      <x:c r="J26" s="4" t="str">
        <x:v>Robots disallow for Claude agents</x:v>
      </x:c>
      <x:c r="K26" s="4" t="str">
        <x:v>robots.txt ClaudeBot/Claude-Web</x:v>
      </x:c>
      <x:c r="L26" s="4" t="str">
        <x:v>Robots.txt disallows Claude-Web, ClaudeBot and anthropic-ai, with limited allowances for creative/advertising paths.</x:v>
      </x:c>
      <x:c r="M26" s="4" t="str">
        <x:v>https://www.washingtonpost.com/robots.txt</x:v>
      </x:c>
      <x:c r="N26" s="4" t="str">
        <x:v>2026-05-13</x:v>
      </x:c>
      <x:c r="O26" s="4" t="str">
        <x:v>Paste article text or use accessible excerpts/alternate coverage.</x:v>
      </x:c>
      <x:c r="P26" s="4" t="str">
        <x:v>High</x:v>
      </x:c>
      <x:c r="Q26" s="4" t="str">
        <x:v>Paywall also affects access.</x:v>
      </x:c>
    </x:row>
    <x:row r="27">
      <x:c r="A27" s="4" t="n">
        <x:v>26</x:v>
      </x:c>
      <x:c r="B27" s="4" t="str">
        <x:v>Wall Street Journal</x:v>
      </x:c>
      <x:c r="C27" s="4" t="str">
        <x:v>wsj.com</x:v>
      </x:c>
      <x:c r="D27" s="4" t="str">
        <x:v>News / business</x:v>
      </x:c>
      <x:c r="E27" s="4" t="str">
        <x:v>US/global</x:v>
      </x:c>
      <x:c r="F27" s="4" t="str">
        <x:v>Confirmed Claude crawler block; live agent unclear</x:v>
      </x:c>
      <x:c r="G27" s="4" t="str">
        <x:v>Partial</x:v>
      </x:c>
      <x:c r="H27" s="4" t="str">
        <x:v>High</x:v>
      </x:c>
      <x:c r="I27" s="4" t="str">
        <x:v>ClaudeBot; Claude-Web</x:v>
      </x:c>
      <x:c r="J27" s="4" t="str">
        <x:v>Robots disallow for Claude agents</x:v>
      </x:c>
      <x:c r="K27" s="4" t="str">
        <x:v>search result robots snippet</x:v>
      </x:c>
      <x:c r="L27" s="4" t="str">
        <x:v>Search result for WSJ robots.txt shows ClaudeBot and Claude-Web disallowed.</x:v>
      </x:c>
      <x:c r="M27" s="4" t="str">
        <x:v>https://www.wsj.com/robots.txt</x:v>
      </x:c>
      <x:c r="N27" s="4" t="str">
        <x:v>2026-05-13</x:v>
      </x:c>
      <x:c r="O27" s="4" t="str">
        <x:v>Paste article text or use licensed/public summaries.</x:v>
      </x:c>
      <x:c r="P27" s="4" t="str">
        <x:v>Medium</x:v>
      </x:c>
      <x:c r="Q27" s="4" t="str">
        <x:v>Direct fetch was restricted by the browsing tool; rely on robots snippet.</x:v>
      </x:c>
    </x:row>
    <x:row r="28">
      <x:c r="A28" s="4" t="n">
        <x:v>27</x:v>
      </x:c>
      <x:c r="B28" s="4" t="str">
        <x:v>New York Times</x:v>
      </x:c>
      <x:c r="C28" s="4" t="str">
        <x:v>nytimes.com</x:v>
      </x:c>
      <x:c r="D28" s="4" t="str">
        <x:v>News / newspaper</x:v>
      </x:c>
      <x:c r="E28" s="4" t="str">
        <x:v>US/global</x:v>
      </x:c>
      <x:c r="F28" s="4" t="str">
        <x:v>Likely restricted</x:v>
      </x:c>
      <x:c r="G28" s="4" t="str">
        <x:v>Partial</x:v>
      </x:c>
      <x:c r="H28" s="4" t="str">
        <x:v>High</x:v>
      </x:c>
      <x:c r="I28" s="4" t="str">
        <x:v>Unknown; likely AI crawler restrictions</x:v>
      </x:c>
      <x:c r="J28" s="4" t="str">
        <x:v>Paywall; anti-scraping; AI-crawler conflict</x:v>
      </x:c>
      <x:c r="K28" s="4" t="str">
        <x:v>third-party/public reporting + paywall</x:v>
      </x:c>
      <x:c r="L28" s="4" t="str">
        <x:v>NYT is a major AI-scraping opponent and many articles are paywalled; direct verification was blocked in this run.</x:v>
      </x:c>
      <x:c r="M28" s="4" t="str">
        <x:v>https://www.nytimes.com/robots.txt</x:v>
      </x:c>
      <x:c r="N28" s="4" t="str">
        <x:v>2026-05-13</x:v>
      </x:c>
      <x:c r="O28" s="4" t="str">
        <x:v>Paste article text or use accessible excerpts/official summaries.</x:v>
      </x:c>
      <x:c r="P28" s="4" t="str">
        <x:v>Medium</x:v>
      </x:c>
      <x:c r="Q28" s="4" t="str">
        <x:v>Do not mark as confirmed Claude-User block without fresh robots verification.</x:v>
      </x:c>
    </x:row>
    <x:row r="29">
      <x:c r="A29" s="4" t="n">
        <x:v>28</x:v>
      </x:c>
      <x:c r="B29" s="4" t="str">
        <x:v>The Economist</x:v>
      </x:c>
      <x:c r="C29" s="4" t="str">
        <x:v>economist.com</x:v>
      </x:c>
      <x:c r="D29" s="4" t="str">
        <x:v>News / magazine</x:v>
      </x:c>
      <x:c r="E29" s="4" t="str">
        <x:v>UK/global</x:v>
      </x:c>
      <x:c r="F29" s="4" t="str">
        <x:v>Confirmed/likely Claude crawler restriction</x:v>
      </x:c>
      <x:c r="G29" s="4" t="str">
        <x:v>Partial</x:v>
      </x:c>
      <x:c r="H29" s="4" t="str">
        <x:v>High</x:v>
      </x:c>
      <x:c r="I29" s="4" t="str">
        <x:v>anthropic-ai; Claude-Web / ClaudeBot reported</x:v>
      </x:c>
      <x:c r="J29" s="4" t="str">
        <x:v>Robots disallow + paywall</x:v>
      </x:c>
      <x:c r="K29" s="4" t="str">
        <x:v>robots.txt/search snippet</x:v>
      </x:c>
      <x:c r="L29" s="4" t="str">
        <x:v>Robots.txt/search snippets indicate Anthropic/Claude crawler disallow; subscription paywall is an additional barrier.</x:v>
      </x:c>
      <x:c r="M29" s="4" t="str">
        <x:v>https://www.economist.com/robots.txt</x:v>
      </x:c>
      <x:c r="N29" s="4" t="str">
        <x:v>2026-05-13</x:v>
      </x:c>
      <x:c r="O29" s="4" t="str">
        <x:v>Paste article text or use licensed summaries.</x:v>
      </x:c>
      <x:c r="P29" s="4" t="str">
        <x:v>Medium</x:v>
      </x:c>
      <x:c r="Q29" s="4" t="str">
        <x:v>Direct fetch was restricted by browsing tool.</x:v>
      </x:c>
    </x:row>
    <x:row r="30">
      <x:c r="A30" s="4" t="n">
        <x:v>29</x:v>
      </x:c>
      <x:c r="B30" s="4" t="str">
        <x:v>Bloomberg</x:v>
      </x:c>
      <x:c r="C30" s="4" t="str">
        <x:v>bloomberg.com</x:v>
      </x:c>
      <x:c r="D30" s="4" t="str">
        <x:v>News / finance</x:v>
      </x:c>
      <x:c r="E30" s="4" t="str">
        <x:v>US/global</x:v>
      </x:c>
      <x:c r="F30" s="4" t="str">
        <x:v>Paywall / anti-bot unreliable</x:v>
      </x:c>
      <x:c r="G30" s="4" t="str">
        <x:v>Partial</x:v>
      </x:c>
      <x:c r="H30" s="4" t="str">
        <x:v>High</x:v>
      </x:c>
      <x:c r="I30" s="4" t="str">
        <x:v>Unclear</x:v>
      </x:c>
      <x:c r="J30" s="4" t="str">
        <x:v>Paywall, dynamic app shell, anti-bot</x:v>
      </x:c>
      <x:c r="K30" s="4" t="str">
        <x:v>paywall + technical barrier</x:v>
      </x:c>
      <x:c r="L30" s="4" t="str">
        <x:v>Bloomberg pages often require subscription and are heavily dynamic/bot-protected; direct robots fetch was not useful in this run.</x:v>
      </x:c>
      <x:c r="M30" s="4" t="str">
        <x:v>https://www.bloomberg.com/robots.txt</x:v>
      </x:c>
      <x:c r="N30" s="4" t="str">
        <x:v>2026-05-13</x:v>
      </x:c>
      <x:c r="O30" s="4" t="str">
        <x:v>Use publicly accessible Bloomberg snippets or paste subscribed content you may use.</x:v>
      </x:c>
      <x:c r="P30" s="4" t="str">
        <x:v>Medium</x:v>
      </x:c>
      <x:c r="Q30" s="4" t="str">
        <x:v>Mark as access-risk rather than confirmed robots block.</x:v>
      </x:c>
    </x:row>
    <x:row r="31">
      <x:c r="A31" s="4" t="n">
        <x:v>30</x:v>
      </x:c>
      <x:c r="B31" s="4" t="str">
        <x:v>Business Insider</x:v>
      </x:c>
      <x:c r="C31" s="4" t="str">
        <x:v>businessinsider.com</x:v>
      </x:c>
      <x:c r="D31" s="4" t="str">
        <x:v>News / business</x:v>
      </x:c>
      <x:c r="E31" s="4" t="str">
        <x:v>US/global</x:v>
      </x:c>
      <x:c r="F31" s="4" t="str">
        <x:v>Confirmed Claude crawler block; live agent unclear</x:v>
      </x:c>
      <x:c r="G31" s="4" t="str">
        <x:v>Partial</x:v>
      </x:c>
      <x:c r="H31" s="4" t="str">
        <x:v>High</x:v>
      </x:c>
      <x:c r="I31" s="4" t="str">
        <x:v>ClaudeBot; anthropic-ai</x:v>
      </x:c>
      <x:c r="J31" s="4" t="str">
        <x:v>Robots disallow for Anthropic/Claude crawler</x:v>
      </x:c>
      <x:c r="K31" s="4" t="str">
        <x:v>robots.txt ClaudeBot</x:v>
      </x:c>
      <x:c r="L31" s="4" t="str">
        <x:v>Robots.txt disallows anthropic-ai and ClaudeBot.</x:v>
      </x:c>
      <x:c r="M31" s="4" t="str">
        <x:v>https://www.businessinsider.com/robots.txt</x:v>
      </x:c>
      <x:c r="N31" s="4" t="str">
        <x:v>2026-05-13</x:v>
      </x:c>
      <x:c r="O31" s="4" t="str">
        <x:v>Paste article text or use accessible excerpts.</x:v>
      </x:c>
      <x:c r="P31" s="4" t="str">
        <x:v>High</x:v>
      </x:c>
      <x:c r="Q31" s="4" t="str">
        <x:v>Some articles also require subscription.</x:v>
      </x:c>
    </x:row>
    <x:row r="32">
      <x:c r="A32" s="4" t="n">
        <x:v>31</x:v>
      </x:c>
      <x:c r="B32" s="4" t="str">
        <x:v>Forbes</x:v>
      </x:c>
      <x:c r="C32" s="4" t="str">
        <x:v>forbes.com</x:v>
      </x:c>
      <x:c r="D32" s="4" t="str">
        <x:v>News / business</x:v>
      </x:c>
      <x:c r="E32" s="4" t="str">
        <x:v>US/global</x:v>
      </x:c>
      <x:c r="F32" s="4" t="str">
        <x:v>Confirmed broad bot block via TollBit robots</x:v>
      </x:c>
      <x:c r="G32" s="4" t="str">
        <x:v>Yes</x:v>
      </x:c>
      <x:c r="H32" s="4" t="str">
        <x:v>High</x:v>
      </x:c>
      <x:c r="I32" s="4" t="str">
        <x:v>User-agent: *</x:v>
      </x:c>
      <x:c r="J32" s="4" t="str">
        <x:v>Wildcard robots disallow</x:v>
      </x:c>
      <x:c r="K32" s="4" t="str">
        <x:v>robots.txt wildcard</x:v>
      </x:c>
      <x:c r="L32" s="4" t="str">
        <x:v>Forbes robots redirects to TollBit robots.txt with User-agent: * Disallow: /.</x:v>
      </x:c>
      <x:c r="M32" s="4" t="str">
        <x:v>https://www.forbes.com/robots.txt</x:v>
      </x:c>
      <x:c r="N32" s="4" t="str">
        <x:v>2026-05-13</x:v>
      </x:c>
      <x:c r="O32" s="4" t="str">
        <x:v>Use accessible excerpts or paste content.</x:v>
      </x:c>
      <x:c r="P32" s="4" t="str">
        <x:v>High</x:v>
      </x:c>
      <x:c r="Q32" s="4" t="str">
        <x:v>The TollBit redirect indicates a monetized crawler-access path.</x:v>
      </x:c>
    </x:row>
    <x:row r="33">
      <x:c r="A33" s="4" t="n">
        <x:v>32</x:v>
      </x:c>
      <x:c r="B33" s="4" t="str">
        <x:v>Politico</x:v>
      </x:c>
      <x:c r="C33" s="4" t="str">
        <x:v>politico.com</x:v>
      </x:c>
      <x:c r="D33" s="4" t="str">
        <x:v>News / politics</x:v>
      </x:c>
      <x:c r="E33" s="4" t="str">
        <x:v>US</x:v>
      </x:c>
      <x:c r="F33" s="4" t="str">
        <x:v>Confirmed ClaudeBot block; live agent unclear</x:v>
      </x:c>
      <x:c r="G33" s="4" t="str">
        <x:v>Partial</x:v>
      </x:c>
      <x:c r="H33" s="4" t="str">
        <x:v>Medium</x:v>
      </x:c>
      <x:c r="I33" s="4" t="str">
        <x:v>ClaudeBot</x:v>
      </x:c>
      <x:c r="J33" s="4" t="str">
        <x:v>Robots disallow for ClaudeBot</x:v>
      </x:c>
      <x:c r="K33" s="4" t="str">
        <x:v>robots.txt ClaudeBot</x:v>
      </x:c>
      <x:c r="L33" s="4" t="str">
        <x:v>Robots.txt disallows ClaudeBot; Claude-User not visible in snippet.</x:v>
      </x:c>
      <x:c r="M33" s="4" t="str">
        <x:v>https://www.politico.com/robots.txt</x:v>
      </x:c>
      <x:c r="N33" s="4" t="str">
        <x:v>2026-05-13</x:v>
      </x:c>
      <x:c r="O33" s="4" t="str">
        <x:v>Use accessible excerpts or paste full text.</x:v>
      </x:c>
      <x:c r="P33" s="4" t="str">
        <x:v>Medium</x:v>
      </x:c>
      <x:c r="Q33" s="4" t="str">
        <x:v>Live fetch may work unless Claude-User is blocked elsewhere.</x:v>
      </x:c>
    </x:row>
    <x:row r="34">
      <x:c r="A34" s="4" t="n">
        <x:v>33</x:v>
      </x:c>
      <x:c r="B34" s="4" t="str">
        <x:v>Axios</x:v>
      </x:c>
      <x:c r="C34" s="4" t="str">
        <x:v>axios.com</x:v>
      </x:c>
      <x:c r="D34" s="4" t="str">
        <x:v>News / concise</x:v>
      </x:c>
      <x:c r="E34" s="4" t="str">
        <x:v>US</x:v>
      </x:c>
      <x:c r="F34" s="4" t="str">
        <x:v>No explicit Claude block found; API/auth paths blocked</x:v>
      </x:c>
      <x:c r="G34" s="4" t="str">
        <x:v>Partial</x:v>
      </x:c>
      <x:c r="H34" s="4" t="str">
        <x:v>Medium</x:v>
      </x:c>
      <x:c r="I34" s="4" t="str">
        <x:v>None visible in fetched snippet</x:v>
      </x:c>
      <x:c r="J34" s="4" t="str">
        <x:v>Core/API/login blocked; no Claude-specific block shown</x:v>
      </x:c>
      <x:c r="K34" s="4" t="str">
        <x:v>robots.txt partial</x:v>
      </x:c>
      <x:c r="L34" s="4" t="str">
        <x:v>Robots.txt blocks API/login/core paths and some AI bots, but Claude-specific disallow was not visible in fetched snippet.</x:v>
      </x:c>
      <x:c r="M34" s="4" t="str">
        <x:v>https://www.axios.com/robots.txt</x:v>
      </x:c>
      <x:c r="N34" s="4" t="str">
        <x:v>2026-05-13</x:v>
      </x:c>
      <x:c r="O34" s="4" t="str">
        <x:v>Try direct link; if failed, paste text.</x:v>
      </x:c>
      <x:c r="P34" s="4" t="str">
        <x:v>Low</x:v>
      </x:c>
      <x:c r="Q34" s="4" t="str">
        <x:v>Include as access-risk only, not confirmed inaccessible.</x:v>
      </x:c>
    </x:row>
    <x:row r="35">
      <x:c r="A35" s="4" t="n">
        <x:v>34</x:v>
      </x:c>
      <x:c r="B35" s="4" t="str">
        <x:v>The Information</x:v>
      </x:c>
      <x:c r="C35" s="4" t="str">
        <x:v>theinformation.com</x:v>
      </x:c>
      <x:c r="D35" s="4" t="str">
        <x:v>News / tech business</x:v>
      </x:c>
      <x:c r="E35" s="4" t="str">
        <x:v>US</x:v>
      </x:c>
      <x:c r="F35" s="4" t="str">
        <x:v>Paywall + AI training bot restrictions</x:v>
      </x:c>
      <x:c r="G35" s="4" t="str">
        <x:v>Partial</x:v>
      </x:c>
      <x:c r="H35" s="4" t="str">
        <x:v>High</x:v>
      </x:c>
      <x:c r="I35" s="4" t="str">
        <x:v>GPTBot/Google-Extended; not Claude visible</x:v>
      </x:c>
      <x:c r="J35" s="4" t="str">
        <x:v>Subscription paywall; AI training bot restrictions</x:v>
      </x:c>
      <x:c r="K35" s="4" t="str">
        <x:v>robots.txt + paywall</x:v>
      </x:c>
      <x:c r="L35" s="4" t="str">
        <x:v>Robots.txt includes an AI training bots section for some agents and the publication is subscription-gated.</x:v>
      </x:c>
      <x:c r="M35" s="4" t="str">
        <x:v>https://www.theinformation.com/robots.txt</x:v>
      </x:c>
      <x:c r="N35" s="4" t="str">
        <x:v>2026-05-13</x:v>
      </x:c>
      <x:c r="O35" s="4" t="str">
        <x:v>Paste article text or summarize from accessible snippets.</x:v>
      </x:c>
      <x:c r="P35" s="4" t="str">
        <x:v>Medium</x:v>
      </x:c>
      <x:c r="Q35" s="4" t="str">
        <x:v>Claude-specific block not visible in fetched snippet.</x:v>
      </x:c>
    </x:row>
    <x:row r="36">
      <x:c r="A36" s="4" t="n">
        <x:v>35</x:v>
      </x:c>
      <x:c r="B36" s="4" t="str">
        <x:v>STAT News</x:v>
      </x:c>
      <x:c r="C36" s="4" t="str">
        <x:v>statnews.com</x:v>
      </x:c>
      <x:c r="D36" s="4" t="str">
        <x:v>News / health/science</x:v>
      </x:c>
      <x:c r="E36" s="4" t="str">
        <x:v>US</x:v>
      </x:c>
      <x:c r="F36" s="4" t="str">
        <x:v>Confirmed Claude crawler block; live agent unclear</x:v>
      </x:c>
      <x:c r="G36" s="4" t="str">
        <x:v>Partial</x:v>
      </x:c>
      <x:c r="H36" s="4" t="str">
        <x:v>Medium</x:v>
      </x:c>
      <x:c r="I36" s="4" t="str">
        <x:v>ClaudeBot; anthropic-ai</x:v>
      </x:c>
      <x:c r="J36" s="4" t="str">
        <x:v>Robots disallow for AI bots</x:v>
      </x:c>
      <x:c r="K36" s="4" t="str">
        <x:v>robots.txt ClaudeBot</x:v>
      </x:c>
      <x:c r="L36" s="4" t="str">
        <x:v>Robots.txt blocks ClaudeBot and anthropic-ai among AI bots.</x:v>
      </x:c>
      <x:c r="M36" s="4" t="str">
        <x:v>https://www.statnews.com/robots.txt</x:v>
      </x:c>
      <x:c r="N36" s="4" t="str">
        <x:v>2026-05-13</x:v>
      </x:c>
      <x:c r="O36" s="4" t="str">
        <x:v>Use accessible excerpts or paste article text.</x:v>
      </x:c>
      <x:c r="P36" s="4" t="str">
        <x:v>High</x:v>
      </x:c>
      <x:c r="Q36" s="4" t="str">
        <x:v>Live fetch impact depends on Claude-User rules not visible.</x:v>
      </x:c>
    </x:row>
    <x:row r="37">
      <x:c r="A37" s="4" t="n">
        <x:v>36</x:v>
      </x:c>
      <x:c r="B37" s="4" t="str">
        <x:v>Rolling Stone</x:v>
      </x:c>
      <x:c r="C37" s="4" t="str">
        <x:v>rollingstone.com</x:v>
      </x:c>
      <x:c r="D37" s="4" t="str">
        <x:v>Entertainment news</x:v>
      </x:c>
      <x:c r="E37" s="4" t="str">
        <x:v>US</x:v>
      </x:c>
      <x:c r="F37" s="4" t="str">
        <x:v>Confirmed broad bot block via TollBit robots</x:v>
      </x:c>
      <x:c r="G37" s="4" t="str">
        <x:v>Yes</x:v>
      </x:c>
      <x:c r="H37" s="4" t="str">
        <x:v>High</x:v>
      </x:c>
      <x:c r="I37" s="4" t="str">
        <x:v>User-agent: *</x:v>
      </x:c>
      <x:c r="J37" s="4" t="str">
        <x:v>Wildcard robots disallow</x:v>
      </x:c>
      <x:c r="K37" s="4" t="str">
        <x:v>robots.txt wildcard</x:v>
      </x:c>
      <x:c r="L37" s="4" t="str">
        <x:v>Rolling Stone robots redirects to TollBit robots.txt with User-agent: * Disallow: /.</x:v>
      </x:c>
      <x:c r="M37" s="4" t="str">
        <x:v>https://www.rollingstone.com/robots.txt</x:v>
      </x:c>
      <x:c r="N37" s="4" t="str">
        <x:v>2026-05-13</x:v>
      </x:c>
      <x:c r="O37" s="4" t="str">
        <x:v>Paste article text or use accessible snippets.</x:v>
      </x:c>
      <x:c r="P37" s="4" t="str">
        <x:v>High</x:v>
      </x:c>
      <x:c r="Q37" s="4" t="str">
        <x:v>TollBit route suggests commercial bot-access policy.</x:v>
      </x:c>
    </x:row>
    <x:row r="38">
      <x:c r="A38" s="4" t="n">
        <x:v>37</x:v>
      </x:c>
      <x:c r="B38" s="4" t="str">
        <x:v>Variety</x:v>
      </x:c>
      <x:c r="C38" s="4" t="str">
        <x:v>variety.com</x:v>
      </x:c>
      <x:c r="D38" s="4" t="str">
        <x:v>Entertainment news</x:v>
      </x:c>
      <x:c r="E38" s="4" t="str">
        <x:v>US</x:v>
      </x:c>
      <x:c r="F38" s="4" t="str">
        <x:v>Confirmed broad bot block via TollBit robots</x:v>
      </x:c>
      <x:c r="G38" s="4" t="str">
        <x:v>Yes</x:v>
      </x:c>
      <x:c r="H38" s="4" t="str">
        <x:v>High</x:v>
      </x:c>
      <x:c r="I38" s="4" t="str">
        <x:v>User-agent: *</x:v>
      </x:c>
      <x:c r="J38" s="4" t="str">
        <x:v>Wildcard robots disallow</x:v>
      </x:c>
      <x:c r="K38" s="4" t="str">
        <x:v>robots.txt wildcard</x:v>
      </x:c>
      <x:c r="L38" s="4" t="str">
        <x:v>Variety robots redirects to TollBit robots.txt with User-agent: * Disallow: /.</x:v>
      </x:c>
      <x:c r="M38" s="4" t="str">
        <x:v>https://variety.com/robots.txt</x:v>
      </x:c>
      <x:c r="N38" s="4" t="str">
        <x:v>2026-05-13</x:v>
      </x:c>
      <x:c r="O38" s="4" t="str">
        <x:v>Paste article text or use accessible snippets.</x:v>
      </x:c>
      <x:c r="P38" s="4" t="str">
        <x:v>High</x:v>
      </x:c>
      <x:c r="Q38" s="4" t="str">
        <x:v>TollBit route suggests commercial bot-access policy.</x:v>
      </x:c>
    </x:row>
    <x:row r="39">
      <x:c r="A39" s="4" t="n">
        <x:v>38</x:v>
      </x:c>
      <x:c r="B39" s="4" t="str">
        <x:v>National Geographic</x:v>
      </x:c>
      <x:c r="C39" s="4" t="str">
        <x:v>nationalgeographic.com</x:v>
      </x:c>
      <x:c r="D39" s="4" t="str">
        <x:v>Magazine / science</x:v>
      </x:c>
      <x:c r="E39" s="4" t="str">
        <x:v>US/global</x:v>
      </x:c>
      <x:c r="F39" s="4" t="str">
        <x:v>Unreliable / mixed</x:v>
      </x:c>
      <x:c r="G39" s="4" t="str">
        <x:v>Partial</x:v>
      </x:c>
      <x:c r="H39" s="4" t="str">
        <x:v>Medium</x:v>
      </x:c>
      <x:c r="I39" s="4" t="str">
        <x:v>No Claude-specific block visible</x:v>
      </x:c>
      <x:c r="J39" s="4" t="str">
        <x:v>Search/API/magazine paths blocked; paywall possible</x:v>
      </x:c>
      <x:c r="K39" s="4" t="str">
        <x:v>robots.txt partial</x:v>
      </x:c>
      <x:c r="L39" s="4" t="str">
        <x:v>Robots.txt blocks several paths, search/API/topic paths; Claude-specific block was not visible in fetched output.</x:v>
      </x:c>
      <x:c r="M39" s="4" t="str">
        <x:v>https://www.nationalgeographic.com/robots.txt</x:v>
      </x:c>
      <x:c r="N39" s="4" t="str">
        <x:v>2026-05-13</x:v>
      </x:c>
      <x:c r="O39" s="4" t="str">
        <x:v>Try direct page; paste content if fetch fails.</x:v>
      </x:c>
      <x:c r="P39" s="4" t="str">
        <x:v>Low</x:v>
      </x:c>
      <x:c r="Q39" s="4" t="str">
        <x:v>Not confirmed Claude-inaccessible.</x:v>
      </x:c>
    </x:row>
    <x:row r="40">
      <x:c r="A40" s="4" t="n">
        <x:v>39</x:v>
      </x:c>
      <x:c r="B40" s="4" t="str">
        <x:v>CNN</x:v>
      </x:c>
      <x:c r="C40" s="4" t="str">
        <x:v>cnn.com</x:v>
      </x:c>
      <x:c r="D40" s="4" t="str">
        <x:v>News / TV</x:v>
      </x:c>
      <x:c r="E40" s="4" t="str">
        <x:v>US/global</x:v>
      </x:c>
      <x:c r="F40" s="4" t="str">
        <x:v>Robots fetch denied to search bot; likely unreliable</x:v>
      </x:c>
      <x:c r="G40" s="4" t="str">
        <x:v>Partial</x:v>
      </x:c>
      <x:c r="H40" s="4" t="str">
        <x:v>Medium</x:v>
      </x:c>
      <x:c r="I40" s="4" t="str">
        <x:v>Unknown</x:v>
      </x:c>
      <x:c r="J40" s="4" t="str">
        <x:v>Robots denial to current search bot; dynamic site</x:v>
      </x:c>
      <x:c r="K40" s="4" t="str">
        <x:v>tool fetch denial</x:v>
      </x:c>
      <x:c r="L40" s="4" t="str">
        <x:v>Direct robots fetch was denied to OAI-SearchBot in this run, signaling crawler restrictions.</x:v>
      </x:c>
      <x:c r="M40" s="4" t="str">
        <x:v>https://www.cnn.com/robots.txt</x:v>
      </x:c>
      <x:c r="N40" s="4" t="str">
        <x:v>2026-05-13</x:v>
      </x:c>
      <x:c r="O40" s="4" t="str">
        <x:v>Use accessible article text/snippets or paste content.</x:v>
      </x:c>
      <x:c r="P40" s="4" t="str">
        <x:v>Medium</x:v>
      </x:c>
      <x:c r="Q40" s="4" t="str">
        <x:v>Not enough data to confirm Claude-specific block.</x:v>
      </x:c>
    </x:row>
    <x:row r="41">
      <x:c r="A41" s="4" t="n">
        <x:v>40</x:v>
      </x:c>
      <x:c r="B41" s="4" t="str">
        <x:v>BBC</x:v>
      </x:c>
      <x:c r="C41" s="4" t="str">
        <x:v>bbc.com</x:v>
      </x:c>
      <x:c r="D41" s="4" t="str">
        <x:v>News / public broadcaster</x:v>
      </x:c>
      <x:c r="E41" s="4" t="str">
        <x:v>UK/global</x:v>
      </x:c>
      <x:c r="F41" s="4" t="str">
        <x:v>Robots fetch denied to search bot; likely unreliable</x:v>
      </x:c>
      <x:c r="G41" s="4" t="str">
        <x:v>Partial</x:v>
      </x:c>
      <x:c r="H41" s="4" t="str">
        <x:v>Medium</x:v>
      </x:c>
      <x:c r="I41" s="4" t="str">
        <x:v>Unknown</x:v>
      </x:c>
      <x:c r="J41" s="4" t="str">
        <x:v>Robots denial to current search bot; regional/video restrictions</x:v>
      </x:c>
      <x:c r="K41" s="4" t="str">
        <x:v>tool fetch denial</x:v>
      </x:c>
      <x:c r="L41" s="4" t="str">
        <x:v>Direct robots fetch was denied to OAI-SearchBot in this run; BBC pages can also vary by region/media rights.</x:v>
      </x:c>
      <x:c r="M41" s="4" t="str">
        <x:v>https://www.bbc.com/robots.txt</x:v>
      </x:c>
      <x:c r="N41" s="4" t="str">
        <x:v>2026-05-13</x:v>
      </x:c>
      <x:c r="O41" s="4" t="str">
        <x:v>Try direct link; use article text if fetch fails.</x:v>
      </x:c>
      <x:c r="P41" s="4" t="str">
        <x:v>Medium</x:v>
      </x:c>
      <x:c r="Q41" s="4" t="str">
        <x:v>Not enough data to confirm Claude-specific block.</x:v>
      </x:c>
    </x:row>
    <x:row r="42">
      <x:c r="A42" s="4" t="n">
        <x:v>41</x:v>
      </x:c>
      <x:c r="B42" s="4" t="str">
        <x:v>Ars Technica</x:v>
      </x:c>
      <x:c r="C42" s="4" t="str">
        <x:v>arstechnica.com</x:v>
      </x:c>
      <x:c r="D42" s="4" t="str">
        <x:v>News / tech</x:v>
      </x:c>
      <x:c r="E42" s="4" t="str">
        <x:v>US</x:v>
      </x:c>
      <x:c r="F42" s="4" t="str">
        <x:v>Robots fetch 403; likely unreliable</x:v>
      </x:c>
      <x:c r="G42" s="4" t="str">
        <x:v>Partial</x:v>
      </x:c>
      <x:c r="H42" s="4" t="str">
        <x:v>Medium</x:v>
      </x:c>
      <x:c r="I42" s="4" t="str">
        <x:v>Unknown</x:v>
      </x:c>
      <x:c r="J42" s="4" t="str">
        <x:v>403 on robots fetch; possible bot protection</x:v>
      </x:c>
      <x:c r="K42" s="4" t="str">
        <x:v>tool fetch denial</x:v>
      </x:c>
      <x:c r="L42" s="4" t="str">
        <x:v>Direct robots fetch returned 403 Forbidden in this run.</x:v>
      </x:c>
      <x:c r="M42" s="4" t="str">
        <x:v>https://arstechnica.com/robots.txt</x:v>
      </x:c>
      <x:c r="N42" s="4" t="str">
        <x:v>2026-05-13</x:v>
      </x:c>
      <x:c r="O42" s="4" t="str">
        <x:v>Use article excerpts or paste content.</x:v>
      </x:c>
      <x:c r="P42" s="4" t="str">
        <x:v>Medium</x:v>
      </x:c>
      <x:c r="Q42" s="4" t="str">
        <x:v>Not enough data to confirm Claude-specific block.</x:v>
      </x:c>
    </x:row>
    <x:row r="43">
      <x:c r="A43" s="4" t="n">
        <x:v>42</x:v>
      </x:c>
      <x:c r="B43" s="4" t="str">
        <x:v>TechCrunch</x:v>
      </x:c>
      <x:c r="C43" s="4" t="str">
        <x:v>techcrunch.com</x:v>
      </x:c>
      <x:c r="D43" s="4" t="str">
        <x:v>News / startups</x:v>
      </x:c>
      <x:c r="E43" s="4" t="str">
        <x:v>US</x:v>
      </x:c>
      <x:c r="F43" s="4" t="str">
        <x:v>Unverified / likely mixed</x:v>
      </x:c>
      <x:c r="G43" s="4" t="str">
        <x:v>Partial</x:v>
      </x:c>
      <x:c r="H43" s="4" t="str">
        <x:v>Medium</x:v>
      </x:c>
      <x:c r="I43" s="4" t="str">
        <x:v>Unknown</x:v>
      </x:c>
      <x:c r="J43" s="4" t="str">
        <x:v>Dynamic/paywall/bot controls possible</x:v>
      </x:c>
      <x:c r="K43" s="4" t="str">
        <x:v>unverified</x:v>
      </x:c>
      <x:c r="L43" s="4" t="str">
        <x:v>Robots fetch could not be safely opened in this run; access may vary by page.</x:v>
      </x:c>
      <x:c r="M43" s="4" t="str">
        <x:v>https://techcrunch.com/robots.txt</x:v>
      </x:c>
      <x:c r="N43" s="4" t="str">
        <x:v>2026-05-13</x:v>
      </x:c>
      <x:c r="O43" s="4" t="str">
        <x:v>Try direct page; paste if failed.</x:v>
      </x:c>
      <x:c r="P43" s="4" t="str">
        <x:v>Low</x:v>
      </x:c>
      <x:c r="Q43" s="4" t="str">
        <x:v>Needs fresh verification.</x:v>
      </x:c>
    </x:row>
    <x:row r="44">
      <x:c r="A44" s="4" t="n">
        <x:v>43</x:v>
      </x:c>
      <x:c r="B44" s="4" t="str">
        <x:v>Engadget</x:v>
      </x:c>
      <x:c r="C44" s="4" t="str">
        <x:v>engadget.com</x:v>
      </x:c>
      <x:c r="D44" s="4" t="str">
        <x:v>News / tech</x:v>
      </x:c>
      <x:c r="E44" s="4" t="str">
        <x:v>US</x:v>
      </x:c>
      <x:c r="F44" s="4" t="str">
        <x:v>Unverified / likely mixed</x:v>
      </x:c>
      <x:c r="G44" s="4" t="str">
        <x:v>Partial</x:v>
      </x:c>
      <x:c r="H44" s="4" t="str">
        <x:v>Medium</x:v>
      </x:c>
      <x:c r="I44" s="4" t="str">
        <x:v>Unknown</x:v>
      </x:c>
      <x:c r="J44" s="4" t="str">
        <x:v>Dynamic/bot controls possible</x:v>
      </x:c>
      <x:c r="K44" s="4" t="str">
        <x:v>unverified</x:v>
      </x:c>
      <x:c r="L44" s="4" t="str">
        <x:v>Robots fetch could not be safely opened in this run; access may vary by page.</x:v>
      </x:c>
      <x:c r="M44" s="4" t="str">
        <x:v>https://www.engadget.com/robots.txt</x:v>
      </x:c>
      <x:c r="N44" s="4" t="str">
        <x:v>2026-05-13</x:v>
      </x:c>
      <x:c r="O44" s="4" t="str">
        <x:v>Try direct page; paste if failed.</x:v>
      </x:c>
      <x:c r="P44" s="4" t="str">
        <x:v>Low</x:v>
      </x:c>
      <x:c r="Q44" s="4" t="str">
        <x:v>Needs fresh verification.</x:v>
      </x:c>
    </x:row>
    <x:row r="45">
      <x:c r="A45" s="4" t="n">
        <x:v>44</x:v>
      </x:c>
      <x:c r="B45" s="4" t="str">
        <x:v>iFixit</x:v>
      </x:c>
      <x:c r="C45" s="4" t="str">
        <x:v>ifixit.com</x:v>
      </x:c>
      <x:c r="D45" s="4" t="str">
        <x:v>Repair / wiki</x:v>
      </x:c>
      <x:c r="E45" s="4" t="str">
        <x:v>Global</x:v>
      </x:c>
      <x:c r="F45" s="4" t="str">
        <x:v>Historical ClaudeBot issue; likely stricter now</x:v>
      </x:c>
      <x:c r="G45" s="4" t="str">
        <x:v>Partial</x:v>
      </x:c>
      <x:c r="H45" s="4" t="str">
        <x:v>Medium</x:v>
      </x:c>
      <x:c r="I45" s="4" t="str">
        <x:v>ClaudeBot historical</x:v>
      </x:c>
      <x:c r="J45" s="4" t="str">
        <x:v>Crawler load; robots/crawl-delay controls</x:v>
      </x:c>
      <x:c r="K45" s="4" t="str">
        <x:v>third-party report</x:v>
      </x:c>
      <x:c r="L45" s="4" t="str">
        <x:v>The Verge reported iFixit added robots controls after heavy ClaudeBot crawling; Anthropic said it respected the signal.</x:v>
      </x:c>
      <x:c r="M45" s="4" t="str">
        <x:v>https://www.theverge.com/2024/7/25/24205943/anthropic-ai-web-crawler-claudebot-ifixit-scraping-training-data</x:v>
      </x:c>
      <x:c r="N45" s="4" t="str">
        <x:v>2026-05-13</x:v>
      </x:c>
      <x:c r="O45" s="4" t="str">
        <x:v>Use direct public guide pages; paste page text if needed.</x:v>
      </x:c>
      <x:c r="P45" s="4" t="str">
        <x:v>Medium</x:v>
      </x:c>
      <x:c r="Q45" s="4" t="str">
        <x:v>Historical, not a universal live fetch block claim.</x:v>
      </x:c>
    </x:row>
    <x:row r="46">
      <x:c r="A46" s="4" t="n">
        <x:v>45</x:v>
      </x:c>
      <x:c r="B46" s="4" t="str">
        <x:v>Read the Docs</x:v>
      </x:c>
      <x:c r="C46" s="4" t="str">
        <x:v>readthedocs.org</x:v>
      </x:c>
      <x:c r="D46" s="4" t="str">
        <x:v>Developer docs</x:v>
      </x:c>
      <x:c r="E46" s="4" t="str">
        <x:v>Global</x:v>
      </x:c>
      <x:c r="F46" s="4" t="str">
        <x:v>Historical ClaudeBot issue; likely mixed</x:v>
      </x:c>
      <x:c r="G46" s="4" t="str">
        <x:v>Partial</x:v>
      </x:c>
      <x:c r="H46" s="4" t="str">
        <x:v>Medium</x:v>
      </x:c>
      <x:c r="I46" s="4" t="str">
        <x:v>ClaudeBot historical</x:v>
      </x:c>
      <x:c r="J46" s="4" t="str">
        <x:v>Crawler load; potential robots controls</x:v>
      </x:c>
      <x:c r="K46" s="4" t="str">
        <x:v>third-party report</x:v>
      </x:c>
      <x:c r="L46" s="4" t="str">
        <x:v>The Verge reported Read the Docs as another site affected by aggressive ClaudeBot scraping.</x:v>
      </x:c>
      <x:c r="M46" s="4" t="str">
        <x:v>https://www.theverge.com/2024/7/25/24205943/anthropic-ai-web-crawler-claudebot-ifixit-scraping-training-data</x:v>
      </x:c>
      <x:c r="N46" s="4" t="str">
        <x:v>2026-05-13</x:v>
      </x:c>
      <x:c r="O46" s="4" t="str">
        <x:v>Try docs URL; use raw/source docs where available.</x:v>
      </x:c>
      <x:c r="P46" s="4" t="str">
        <x:v>Medium</x:v>
      </x:c>
      <x:c r="Q46" s="4" t="str">
        <x:v>Docs sites often remain accessible, but can rate-limit bots.</x:v>
      </x:c>
    </x:row>
    <x:row r="47">
      <x:c r="A47" s="4" t="n">
        <x:v>46</x:v>
      </x:c>
      <x:c r="B47" s="4" t="str">
        <x:v>Freelancer.com</x:v>
      </x:c>
      <x:c r="C47" s="4" t="str">
        <x:v>freelancer.com</x:v>
      </x:c>
      <x:c r="D47" s="4" t="str">
        <x:v>Marketplace</x:v>
      </x:c>
      <x:c r="E47" s="4" t="str">
        <x:v>Global</x:v>
      </x:c>
      <x:c r="F47" s="4" t="str">
        <x:v>Historical ClaudeBot issue; likely restricted/mixed</x:v>
      </x:c>
      <x:c r="G47" s="4" t="str">
        <x:v>Partial</x:v>
      </x:c>
      <x:c r="H47" s="4" t="str">
        <x:v>Medium</x:v>
      </x:c>
      <x:c r="I47" s="4" t="str">
        <x:v>ClaudeBot historical</x:v>
      </x:c>
      <x:c r="J47" s="4" t="str">
        <x:v>Crawler load; login marketplace</x:v>
      </x:c>
      <x:c r="K47" s="4" t="str">
        <x:v>third-party report</x:v>
      </x:c>
      <x:c r="L47" s="4" t="str">
        <x:v>The Verge reported Freelancer.com leadership said it had experienced aggressive ClaudeBot scraping.</x:v>
      </x:c>
      <x:c r="M47" s="4" t="str">
        <x:v>https://www.theverge.com/2024/7/25/24205943/anthropic-ai-web-crawler-claudebot-ifixit-scraping-training-data</x:v>
      </x:c>
      <x:c r="N47" s="4" t="str">
        <x:v>2026-05-13</x:v>
      </x:c>
      <x:c r="O47" s="4" t="str">
        <x:v>Paste listing/project text or use public exports.</x:v>
      </x:c>
      <x:c r="P47" s="4" t="str">
        <x:v>Medium</x:v>
      </x:c>
      <x:c r="Q47" s="4" t="str">
        <x:v>Marketplace pages are also dynamic/auth-limited.</x:v>
      </x:c>
    </x:row>
    <x:row r="48">
      <x:c r="A48" s="4" t="n">
        <x:v>47</x:v>
      </x:c>
      <x:c r="B48" s="4" t="str">
        <x:v>Amazon</x:v>
      </x:c>
      <x:c r="C48" s="4" t="str">
        <x:v>amazon.com</x:v>
      </x:c>
      <x:c r="D48" s="4" t="str">
        <x:v>E-commerce</x:v>
      </x:c>
      <x:c r="E48" s="4" t="str">
        <x:v>US/global</x:v>
      </x:c>
      <x:c r="F48" s="4" t="str">
        <x:v>Unreliable / anti-bot</x:v>
      </x:c>
      <x:c r="G48" s="4" t="str">
        <x:v>Partial</x:v>
      </x:c>
      <x:c r="H48" s="4" t="str">
        <x:v>High</x:v>
      </x:c>
      <x:c r="I48" s="4" t="str">
        <x:v>Unknown</x:v>
      </x:c>
      <x:c r="J48" s="4" t="str">
        <x:v>Bot protection; dynamic prices/reviews</x:v>
      </x:c>
      <x:c r="K48" s="4" t="str">
        <x:v>tool fetch denial</x:v>
      </x:c>
      <x:c r="L48" s="4" t="str">
        <x:v>Robots fetch returned 503 in this run; product pages often have anti-bot and dynamic price/availability.</x:v>
      </x:c>
      <x:c r="M48" s="4" t="str">
        <x:v>https://www.amazon.com/robots.txt</x:v>
      </x:c>
      <x:c r="N48" s="4" t="str">
        <x:v>2026-05-13</x:v>
      </x:c>
      <x:c r="O48" s="4" t="str">
        <x:v>Use a shopping/search tool or paste product details; verify prices manually.</x:v>
      </x:c>
      <x:c r="P48" s="4" t="str">
        <x:v>Medium</x:v>
      </x:c>
      <x:c r="Q48" s="4" t="str">
        <x:v>Prices/reviews are volatile even when fetched.</x:v>
      </x:c>
    </x:row>
    <x:row r="49">
      <x:c r="A49" s="4" t="n">
        <x:v>48</x:v>
      </x:c>
      <x:c r="B49" s="4" t="str">
        <x:v>Walmart</x:v>
      </x:c>
      <x:c r="C49" s="4" t="str">
        <x:v>walmart.com</x:v>
      </x:c>
      <x:c r="D49" s="4" t="str">
        <x:v>E-commerce</x:v>
      </x:c>
      <x:c r="E49" s="4" t="str">
        <x:v>US</x:v>
      </x:c>
      <x:c r="F49" s="4" t="str">
        <x:v>Unreliable / mixed</x:v>
      </x:c>
      <x:c r="G49" s="4" t="str">
        <x:v>Partial</x:v>
      </x:c>
      <x:c r="H49" s="4" t="str">
        <x:v>Medium</x:v>
      </x:c>
      <x:c r="I49" s="4" t="str">
        <x:v>No Claude-specific block visible</x:v>
      </x:c>
      <x:c r="J49" s="4" t="str">
        <x:v>Search/API/cart/account blocked; dynamic retail</x:v>
      </x:c>
      <x:c r="K49" s="4" t="str">
        <x:v>robots.txt partial</x:v>
      </x:c>
      <x:c r="L49" s="4" t="str">
        <x:v>Robots.txt blocks search, APIs, account/cart/order paths; product pages may still vary by region/session.</x:v>
      </x:c>
      <x:c r="M49" s="4" t="str">
        <x:v>https://www.walmart.com/robots.txt</x:v>
      </x:c>
      <x:c r="N49" s="4" t="str">
        <x:v>2026-05-13</x:v>
      </x:c>
      <x:c r="O49" s="4" t="str">
        <x:v>Use direct product links with manual price verification.</x:v>
      </x:c>
      <x:c r="P49" s="4" t="str">
        <x:v>Medium</x:v>
      </x:c>
      <x:c r="Q49" s="4" t="str">
        <x:v>Not confirmed Claude-specific inaccessible.</x:v>
      </x:c>
    </x:row>
    <x:row r="50">
      <x:c r="A50" s="4" t="n">
        <x:v>49</x:v>
      </x:c>
      <x:c r="B50" s="4" t="str">
        <x:v>Target</x:v>
      </x:c>
      <x:c r="C50" s="4" t="str">
        <x:v>target.com</x:v>
      </x:c>
      <x:c r="D50" s="4" t="str">
        <x:v>E-commerce</x:v>
      </x:c>
      <x:c r="E50" s="4" t="str">
        <x:v>US</x:v>
      </x:c>
      <x:c r="F50" s="4" t="str">
        <x:v>Unreliable / mixed</x:v>
      </x:c>
      <x:c r="G50" s="4" t="str">
        <x:v>Partial</x:v>
      </x:c>
      <x:c r="H50" s="4" t="str">
        <x:v>Medium</x:v>
      </x:c>
      <x:c r="I50" s="4" t="str">
        <x:v>No Claude-specific block visible</x:v>
      </x:c>
      <x:c r="J50" s="4" t="str">
        <x:v>Cart/account/search/deals/shop paths blocked</x:v>
      </x:c>
      <x:c r="K50" s="4" t="str">
        <x:v>robots.txt partial</x:v>
      </x:c>
      <x:c r="L50" s="4" t="str">
        <x:v>Robots.txt blocks cart/account/search/shop and many commerce paths.</x:v>
      </x:c>
      <x:c r="M50" s="4" t="str">
        <x:v>https://www.target.com/robots.txt</x:v>
      </x:c>
      <x:c r="N50" s="4" t="str">
        <x:v>2026-05-13</x:v>
      </x:c>
      <x:c r="O50" s="4" t="str">
        <x:v>Use manual verification for price/availability; paste details if needed.</x:v>
      </x:c>
      <x:c r="P50" s="4" t="str">
        <x:v>Medium</x:v>
      </x:c>
      <x:c r="Q50" s="4" t="str">
        <x:v>Not confirmed Claude-specific inaccessible.</x:v>
      </x:c>
    </x:row>
    <x:row r="51">
      <x:c r="A51" s="4" t="n">
        <x:v>50</x:v>
      </x:c>
      <x:c r="B51" s="4" t="str">
        <x:v>Best Buy</x:v>
      </x:c>
      <x:c r="C51" s="4" t="str">
        <x:v>bestbuy.com</x:v>
      </x:c>
      <x:c r="D51" s="4" t="str">
        <x:v>E-commerce</x:v>
      </x:c>
      <x:c r="E51" s="4" t="str">
        <x:v>US</x:v>
      </x:c>
      <x:c r="F51" s="4" t="str">
        <x:v>Unreliable / mixed</x:v>
      </x:c>
      <x:c r="G51" s="4" t="str">
        <x:v>Partial</x:v>
      </x:c>
      <x:c r="H51" s="4" t="str">
        <x:v>Medium</x:v>
      </x:c>
      <x:c r="I51" s="4" t="str">
        <x:v>No Claude-specific block visible</x:v>
      </x:c>
      <x:c r="J51" s="4" t="str">
        <x:v>APIs, cart, availability, pricing paths blocked</x:v>
      </x:c>
      <x:c r="K51" s="4" t="str">
        <x:v>robots.txt partial</x:v>
      </x:c>
      <x:c r="L51" s="4" t="str">
        <x:v>Robots.txt blocks API/pricing/availability/cart/profile paths.</x:v>
      </x:c>
      <x:c r="M51" s="4" t="str">
        <x:v>https://www.bestbuy.com/robots.txt</x:v>
      </x:c>
      <x:c r="N51" s="4" t="str">
        <x:v>2026-05-13</x:v>
      </x:c>
      <x:c r="O51" s="4" t="str">
        <x:v>Use manual verification for price/stock; paste details if needed.</x:v>
      </x:c>
      <x:c r="P51" s="4" t="str">
        <x:v>Medium</x:v>
      </x:c>
      <x:c r="Q51" s="4" t="str">
        <x:v>Retail data changes quickly.</x:v>
      </x:c>
    </x:row>
    <x:row r="52">
      <x:c r="A52" s="4" t="n">
        <x:v>51</x:v>
      </x:c>
      <x:c r="B52" s="4" t="str">
        <x:v>eBay</x:v>
      </x:c>
      <x:c r="C52" s="4" t="str">
        <x:v>ebay.com</x:v>
      </x:c>
      <x:c r="D52" s="4" t="str">
        <x:v>Marketplace / e-commerce</x:v>
      </x:c>
      <x:c r="E52" s="4" t="str">
        <x:v>Global</x:v>
      </x:c>
      <x:c r="F52" s="4" t="str">
        <x:v>Confirmed automated-agent restricted</x:v>
      </x:c>
      <x:c r="G52" s="4" t="str">
        <x:v>Yes</x:v>
      </x:c>
      <x:c r="H52" s="4" t="str">
        <x:v>High</x:v>
      </x:c>
      <x:c r="I52" s="4" t="str">
        <x:v>Unapproved automated means; LLM-driven bots</x:v>
      </x:c>
      <x:c r="J52" s="4" t="str">
        <x:v>Terms/robots automated access prohibition</x:v>
      </x:c>
      <x:c r="K52" s="4" t="str">
        <x:v>robots.txt policy statement</x:v>
      </x:c>
      <x:c r="L52" s="4" t="str">
        <x:v>eBay robots.txt states automated access without express permission is prohibited; checkout/LLM-driven buy flows are prohibited.</x:v>
      </x:c>
      <x:c r="M52" s="4" t="str">
        <x:v>https://www.ebay.com/robots.txt</x:v>
      </x:c>
      <x:c r="N52" s="4" t="str">
        <x:v>2026-05-13</x:v>
      </x:c>
      <x:c r="O52" s="4" t="str">
        <x:v>Use manual browsing; paste listing details.</x:v>
      </x:c>
      <x:c r="P52" s="4" t="str">
        <x:v>High</x:v>
      </x:c>
      <x:c r="Q52" s="4" t="str">
        <x:v>Search and listings may be partly indexable; actions/checkouts are not.</x:v>
      </x:c>
    </x:row>
    <x:row r="53">
      <x:c r="A53" s="4" t="n">
        <x:v>52</x:v>
      </x:c>
      <x:c r="B53" s="4" t="str">
        <x:v>Flipkart</x:v>
      </x:c>
      <x:c r="C53" s="4" t="str">
        <x:v>flipkart.com</x:v>
      </x:c>
      <x:c r="D53" s="4" t="str">
        <x:v>E-commerce</x:v>
      </x:c>
      <x:c r="E53" s="4" t="str">
        <x:v>India</x:v>
      </x:c>
      <x:c r="F53" s="4" t="str">
        <x:v>Unreliable / mixed</x:v>
      </x:c>
      <x:c r="G53" s="4" t="str">
        <x:v>Partial</x:v>
      </x:c>
      <x:c r="H53" s="4" t="str">
        <x:v>Medium</x:v>
      </x:c>
      <x:c r="I53" s="4" t="str">
        <x:v>Unknown</x:v>
      </x:c>
      <x:c r="J53" s="4" t="str">
        <x:v>Dynamic retail; bot/region controls</x:v>
      </x:c>
      <x:c r="K53" s="4" t="str">
        <x:v>robots.txt unavailable/blank fetch</x:v>
      </x:c>
      <x:c r="L53" s="4" t="str">
        <x:v>Robots retrieval did not surface usable content in this run; product pages are dynamic and region/session sensitive.</x:v>
      </x:c>
      <x:c r="M53" s="4" t="str">
        <x:v>https://www.flipkart.com/robots.txt</x:v>
      </x:c>
      <x:c r="N53" s="4" t="str">
        <x:v>2026-05-13</x:v>
      </x:c>
      <x:c r="O53" s="4" t="str">
        <x:v>Manual price/stock verification; paste product details.</x:v>
      </x:c>
      <x:c r="P53" s="4" t="str">
        <x:v>Low</x:v>
      </x:c>
      <x:c r="Q53" s="4" t="str">
        <x:v>Needs fresh verification.</x:v>
      </x:c>
    </x:row>
    <x:row r="54">
      <x:c r="A54" s="4" t="n">
        <x:v>53</x:v>
      </x:c>
      <x:c r="B54" s="4" t="str">
        <x:v>Myntra</x:v>
      </x:c>
      <x:c r="C54" s="4" t="str">
        <x:v>myntra.com</x:v>
      </x:c>
      <x:c r="D54" s="4" t="str">
        <x:v>E-commerce / fashion</x:v>
      </x:c>
      <x:c r="E54" s="4" t="str">
        <x:v>India</x:v>
      </x:c>
      <x:c r="F54" s="4" t="str">
        <x:v>Likely blocked / unreliable</x:v>
      </x:c>
      <x:c r="G54" s="4" t="str">
        <x:v>Partial</x:v>
      </x:c>
      <x:c r="H54" s="4" t="str">
        <x:v>Medium</x:v>
      </x:c>
      <x:c r="I54" s="4" t="str">
        <x:v>Unknown</x:v>
      </x:c>
      <x:c r="J54" s="4" t="str">
        <x:v>Bot protection/site maintenance response</x:v>
      </x:c>
      <x:c r="K54" s="4" t="str">
        <x:v>tool fetch denial</x:v>
      </x:c>
      <x:c r="L54" s="4" t="str">
        <x:v>Robots request returned a Site Maintenance HTML response in this run rather than usable robots rules.</x:v>
      </x:c>
      <x:c r="M54" s="4" t="str">
        <x:v>https://www.myntra.com/robots.txt</x:v>
      </x:c>
      <x:c r="N54" s="4" t="str">
        <x:v>2026-05-13</x:v>
      </x:c>
      <x:c r="O54" s="4" t="str">
        <x:v>Manual verification; paste product details.</x:v>
      </x:c>
      <x:c r="P54" s="4" t="str">
        <x:v>Medium</x:v>
      </x:c>
      <x:c r="Q54" s="4" t="str">
        <x:v>Mobile-app-heavy retail flows are poor crawl targets.</x:v>
      </x:c>
    </x:row>
    <x:row r="55">
      <x:c r="A55" s="4" t="n">
        <x:v>54</x:v>
      </x:c>
      <x:c r="B55" s="4" t="str">
        <x:v>AJIO</x:v>
      </x:c>
      <x:c r="C55" s="4" t="str">
        <x:v>ajio.com</x:v>
      </x:c>
      <x:c r="D55" s="4" t="str">
        <x:v>E-commerce / fashion</x:v>
      </x:c>
      <x:c r="E55" s="4" t="str">
        <x:v>India</x:v>
      </x:c>
      <x:c r="F55" s="4" t="str">
        <x:v>Likely blocked / unreliable</x:v>
      </x:c>
      <x:c r="G55" s="4" t="str">
        <x:v>Partial</x:v>
      </x:c>
      <x:c r="H55" s="4" t="str">
        <x:v>Medium</x:v>
      </x:c>
      <x:c r="I55" s="4" t="str">
        <x:v>Unknown</x:v>
      </x:c>
      <x:c r="J55" s="4" t="str">
        <x:v>Dynamic retail; anti-bot likely</x:v>
      </x:c>
      <x:c r="K55" s="4" t="str">
        <x:v>unverified</x:v>
      </x:c>
      <x:c r="L55" s="4" t="str">
        <x:v>Retail page access usually varies by session, region and anti-bot checks; not verified in this run.</x:v>
      </x:c>
      <x:c r="M55" s="4" t="str">
        <x:v>https://www.ajio.com/robots.txt</x:v>
      </x:c>
      <x:c r="N55" s="4" t="str">
        <x:v>2026-05-13</x:v>
      </x:c>
      <x:c r="O55" s="4" t="str">
        <x:v>Manual verification; paste product details.</x:v>
      </x:c>
      <x:c r="P55" s="4" t="str">
        <x:v>Low</x:v>
      </x:c>
      <x:c r="Q55" s="4" t="str">
        <x:v>Needs fresh verification.</x:v>
      </x:c>
    </x:row>
    <x:row r="56">
      <x:c r="A56" s="4" t="n">
        <x:v>55</x:v>
      </x:c>
      <x:c r="B56" s="4" t="str">
        <x:v>Netflix</x:v>
      </x:c>
      <x:c r="C56" s="4" t="str">
        <x:v>netflix.com</x:v>
      </x:c>
      <x:c r="D56" s="4" t="str">
        <x:v>Streaming</x:v>
      </x:c>
      <x:c r="E56" s="4" t="str">
        <x:v>Global</x:v>
      </x:c>
      <x:c r="F56" s="4" t="str">
        <x:v>Auth/subscription-gated</x:v>
      </x:c>
      <x:c r="G56" s="4" t="str">
        <x:v>Yes</x:v>
      </x:c>
      <x:c r="H56" s="4" t="str">
        <x:v>High</x:v>
      </x:c>
      <x:c r="I56" s="4" t="str">
        <x:v>N/A</x:v>
      </x:c>
      <x:c r="J56" s="4" t="str">
        <x:v>Login/subscription and regional catalog</x:v>
      </x:c>
      <x:c r="K56" s="4" t="str">
        <x:v>auth/paywall barrier</x:v>
      </x:c>
      <x:c r="L56" s="4" t="str">
        <x:v>Catalog/playback data requires account/session; robots output was not useful in this run.</x:v>
      </x:c>
      <x:c r="M56" s="4" t="str">
        <x:v>https://www.netflix.com/robots.txt</x:v>
      </x:c>
      <x:c r="N56" s="4" t="str">
        <x:v>2026-05-13</x:v>
      </x:c>
      <x:c r="O56" s="4" t="str">
        <x:v>Use public title pages or paste title details; verify availability in your account/region.</x:v>
      </x:c>
      <x:c r="P56" s="4" t="str">
        <x:v>High</x:v>
      </x:c>
      <x:c r="Q56" s="4" t="str">
        <x:v>Regional availability changes.</x:v>
      </x:c>
    </x:row>
    <x:row r="57">
      <x:c r="A57" s="4" t="n">
        <x:v>56</x:v>
      </x:c>
      <x:c r="B57" s="4" t="str">
        <x:v>Prime Video</x:v>
      </x:c>
      <x:c r="C57" s="4" t="str">
        <x:v>primevideo.com</x:v>
      </x:c>
      <x:c r="D57" s="4" t="str">
        <x:v>Streaming</x:v>
      </x:c>
      <x:c r="E57" s="4" t="str">
        <x:v>Global</x:v>
      </x:c>
      <x:c r="F57" s="4" t="str">
        <x:v>Auth/subscription-gated</x:v>
      </x:c>
      <x:c r="G57" s="4" t="str">
        <x:v>Yes</x:v>
      </x:c>
      <x:c r="H57" s="4" t="str">
        <x:v>High</x:v>
      </x:c>
      <x:c r="I57" s="4" t="str">
        <x:v>N/A</x:v>
      </x:c>
      <x:c r="J57" s="4" t="str">
        <x:v>Login/subscription and regional catalog</x:v>
      </x:c>
      <x:c r="K57" s="4" t="str">
        <x:v>auth/paywall barrier</x:v>
      </x:c>
      <x:c r="L57" s="4" t="str">
        <x:v>Catalog/playback details require account/session; robots output was not useful in this run.</x:v>
      </x:c>
      <x:c r="M57" s="4" t="str">
        <x:v>https://www.primevideo.com/robots.txt</x:v>
      </x:c>
      <x:c r="N57" s="4" t="str">
        <x:v>2026-05-13</x:v>
      </x:c>
      <x:c r="O57" s="4" t="str">
        <x:v>Use public title pages or paste details; verify in account/region.</x:v>
      </x:c>
      <x:c r="P57" s="4" t="str">
        <x:v>High</x:v>
      </x:c>
      <x:c r="Q57" s="4" t="str">
        <x:v>Regional availability changes.</x:v>
      </x:c>
    </x:row>
    <x:row r="58">
      <x:c r="A58" s="4" t="n">
        <x:v>57</x:v>
      </x:c>
      <x:c r="B58" s="4" t="str">
        <x:v>Disney+ Hotstar</x:v>
      </x:c>
      <x:c r="C58" s="4" t="str">
        <x:v>hotstar.com</x:v>
      </x:c>
      <x:c r="D58" s="4" t="str">
        <x:v>Streaming</x:v>
      </x:c>
      <x:c r="E58" s="4" t="str">
        <x:v>India/global</x:v>
      </x:c>
      <x:c r="F58" s="4" t="str">
        <x:v>Auth/subscription-gated / unreliable</x:v>
      </x:c>
      <x:c r="G58" s="4" t="str">
        <x:v>Yes</x:v>
      </x:c>
      <x:c r="H58" s="4" t="str">
        <x:v>High</x:v>
      </x:c>
      <x:c r="I58" s="4" t="str">
        <x:v>N/A</x:v>
      </x:c>
      <x:c r="J58" s="4" t="str">
        <x:v>Login/subscription; app/dynamic rendering</x:v>
      </x:c>
      <x:c r="K58" s="4" t="str">
        <x:v>auth/paywall barrier</x:v>
      </x:c>
      <x:c r="L58" s="4" t="str">
        <x:v>Robots request returned HTML rather than clean robots rules in this run; playback/catalog is account/region gated.</x:v>
      </x:c>
      <x:c r="M58" s="4" t="str">
        <x:v>https://www.hotstar.com/robots.txt</x:v>
      </x:c>
      <x:c r="N58" s="4" t="str">
        <x:v>2026-05-13</x:v>
      </x:c>
      <x:c r="O58" s="4" t="str">
        <x:v>Use public title pages or paste details; verify in app/region.</x:v>
      </x:c>
      <x:c r="P58" s="4" t="str">
        <x:v>High</x:v>
      </x:c>
      <x:c r="Q58" s="4" t="str">
        <x:v>India-specific access can differ from global Disney+.</x:v>
      </x:c>
    </x:row>
    <x:row r="59">
      <x:c r="A59" s="4" t="n">
        <x:v>58</x:v>
      </x:c>
      <x:c r="B59" s="4" t="str">
        <x:v>YouTube comments/transcripts</x:v>
      </x:c>
      <x:c r="C59" s="4" t="str">
        <x:v>youtube.com</x:v>
      </x:c>
      <x:c r="D59" s="4" t="str">
        <x:v>Video / social</x:v>
      </x:c>
      <x:c r="E59" s="4" t="str">
        <x:v>Global</x:v>
      </x:c>
      <x:c r="F59" s="4" t="str">
        <x:v>Unreliable / mixed</x:v>
      </x:c>
      <x:c r="G59" s="4" t="str">
        <x:v>Partial</x:v>
      </x:c>
      <x:c r="H59" s="4" t="str">
        <x:v>Medium</x:v>
      </x:c>
      <x:c r="I59" s="4" t="str">
        <x:v>Unknown</x:v>
      </x:c>
      <x:c r="J59" s="4" t="str">
        <x:v>Dynamic comments; captions availability; JS</x:v>
      </x:c>
      <x:c r="K59" s="4" t="str">
        <x:v>technical barrier</x:v>
      </x:c>
      <x:c r="L59" s="4" t="str">
        <x:v>Public video pages may be reachable, but captions/comments are inconsistent without dedicated transcript tools or user-provided transcript.</x:v>
      </x:c>
      <x:c r="M59" s="4" t="str">
        <x:v>https://www.youtube.com/robots.txt</x:v>
      </x:c>
      <x:c r="N59" s="4" t="str">
        <x:v>2026-05-13</x:v>
      </x:c>
      <x:c r="O59" s="4" t="str">
        <x:v>Provide transcript, captions, or comments export.</x:v>
      </x:c>
      <x:c r="P59" s="4" t="str">
        <x:v>Medium</x:v>
      </x:c>
      <x:c r="Q59" s="4" t="str">
        <x:v>Video metadata differs from transcript availability.</x:v>
      </x:c>
    </x:row>
    <x:row r="60">
      <x:c r="A60" s="4" t="n">
        <x:v>59</x:v>
      </x:c>
      <x:c r="B60" s="4" t="str">
        <x:v>Twitch</x:v>
      </x:c>
      <x:c r="C60" s="4" t="str">
        <x:v>twitch.tv</x:v>
      </x:c>
      <x:c r="D60" s="4" t="str">
        <x:v>Streaming / live video</x:v>
      </x:c>
      <x:c r="E60" s="4" t="str">
        <x:v>Global</x:v>
      </x:c>
      <x:c r="F60" s="4" t="str">
        <x:v>Unreliable / mixed</x:v>
      </x:c>
      <x:c r="G60" s="4" t="str">
        <x:v>Partial</x:v>
      </x:c>
      <x:c r="H60" s="4" t="str">
        <x:v>Medium</x:v>
      </x:c>
      <x:c r="I60" s="4" t="str">
        <x:v>Unknown</x:v>
      </x:c>
      <x:c r="J60" s="4" t="str">
        <x:v>Live/auth/dynamic chat</x:v>
      </x:c>
      <x:c r="K60" s="4" t="str">
        <x:v>technical/auth barrier</x:v>
      </x:c>
      <x:c r="L60" s="4" t="str">
        <x:v>Live chat/VOD state requires JS/session and is not reliable via simple fetch.</x:v>
      </x:c>
      <x:c r="M60" s="4" t="str">
        <x:v>https://www.twitch.tv/robots.txt</x:v>
      </x:c>
      <x:c r="N60" s="4" t="str">
        <x:v>2026-05-13</x:v>
      </x:c>
      <x:c r="O60" s="4" t="str">
        <x:v>Provide VOD transcript/chat export or screenshots.</x:v>
      </x:c>
      <x:c r="P60" s="4" t="str">
        <x:v>Medium</x:v>
      </x:c>
      <x:c r="Q60" s="4" t="str">
        <x:v>Public channel pages may fetch but chat does not.</x:v>
      </x:c>
    </x:row>
    <x:row r="61">
      <x:c r="A61" s="4" t="n">
        <x:v>60</x:v>
      </x:c>
      <x:c r="B61" s="4" t="str">
        <x:v>Spotify</x:v>
      </x:c>
      <x:c r="C61" s="4" t="str">
        <x:v>spotify.com</x:v>
      </x:c>
      <x:c r="D61" s="4" t="str">
        <x:v>Audio / streaming</x:v>
      </x:c>
      <x:c r="E61" s="4" t="str">
        <x:v>Global</x:v>
      </x:c>
      <x:c r="F61" s="4" t="str">
        <x:v>Auth/dynamic mixed</x:v>
      </x:c>
      <x:c r="G61" s="4" t="str">
        <x:v>Partial</x:v>
      </x:c>
      <x:c r="H61" s="4" t="str">
        <x:v>Medium</x:v>
      </x:c>
      <x:c r="I61" s="4" t="str">
        <x:v>Unknown</x:v>
      </x:c>
      <x:c r="J61" s="4" t="str">
        <x:v>Login/app rendering; region rights</x:v>
      </x:c>
      <x:c r="K61" s="4" t="str">
        <x:v>auth + technical barrier</x:v>
      </x:c>
      <x:c r="L61" s="4" t="str">
        <x:v>Public artist/album pages may work, but playback/catalog details can be region/account dependent.</x:v>
      </x:c>
      <x:c r="M61" s="4" t="str">
        <x:v>https://www.spotify.com/robots.txt</x:v>
      </x:c>
      <x:c r="N61" s="4" t="str">
        <x:v>2026-05-13</x:v>
      </x:c>
      <x:c r="O61" s="4" t="str">
        <x:v>Use public links plus manual verification; paste needed metadata.</x:v>
      </x:c>
      <x:c r="P61" s="4" t="str">
        <x:v>Medium</x:v>
      </x:c>
      <x:c r="Q61" s="4" t="str">
        <x:v>Not confirmed Claude-specific inaccessible.</x:v>
      </x:c>
    </x:row>
    <x:row r="62">
      <x:c r="A62" s="4" t="n">
        <x:v>61</x:v>
      </x:c>
      <x:c r="B62" s="4" t="str">
        <x:v>Pinterest</x:v>
      </x:c>
      <x:c r="C62" s="4" t="str">
        <x:v>pinterest.com</x:v>
      </x:c>
      <x:c r="D62" s="4" t="str">
        <x:v>Social / images</x:v>
      </x:c>
      <x:c r="E62" s="4" t="str">
        <x:v>Global</x:v>
      </x:c>
      <x:c r="F62" s="4" t="str">
        <x:v>Auth-gated / unreliable</x:v>
      </x:c>
      <x:c r="G62" s="4" t="str">
        <x:v>Partial</x:v>
      </x:c>
      <x:c r="H62" s="4" t="str">
        <x:v>Medium</x:v>
      </x:c>
      <x:c r="I62" s="4" t="str">
        <x:v>Unknown</x:v>
      </x:c>
      <x:c r="J62" s="4" t="str">
        <x:v>Login wall; image grid JS</x:v>
      </x:c>
      <x:c r="K62" s="4" t="str">
        <x:v>auth + technical barrier</x:v>
      </x:c>
      <x:c r="L62" s="4" t="str">
        <x:v>Pinterest commonly requires login and heavily renders via JS grids.</x:v>
      </x:c>
      <x:c r="M62" s="4" t="str">
        <x:v>https://www.pinterest.com/robots.txt</x:v>
      </x:c>
      <x:c r="N62" s="4" t="str">
        <x:v>2026-05-13</x:v>
      </x:c>
      <x:c r="O62" s="4" t="str">
        <x:v>Use screenshots/exported images or paste pin text.</x:v>
      </x:c>
      <x:c r="P62" s="4" t="str">
        <x:v>Medium</x:v>
      </x:c>
      <x:c r="Q62" s="4" t="str">
        <x:v>Visual content requires image inputs rather than web text.</x:v>
      </x:c>
    </x:row>
    <x:row r="63">
      <x:c r="A63" s="4" t="n">
        <x:v>62</x:v>
      </x:c>
      <x:c r="B63" s="4" t="str">
        <x:v>Google Search result pages</x:v>
      </x:c>
      <x:c r="C63" s="4" t="str">
        <x:v>google.com/search</x:v>
      </x:c>
      <x:c r="D63" s="4" t="str">
        <x:v>Search engine results</x:v>
      </x:c>
      <x:c r="E63" s="4" t="str">
        <x:v>Global</x:v>
      </x:c>
      <x:c r="F63" s="4" t="str">
        <x:v>Usually inaccessible / not suitable</x:v>
      </x:c>
      <x:c r="G63" s="4" t="str">
        <x:v>Yes</x:v>
      </x:c>
      <x:c r="H63" s="4" t="str">
        <x:v>Medium</x:v>
      </x:c>
      <x:c r="I63" s="4" t="str">
        <x:v>N/A</x:v>
      </x:c>
      <x:c r="J63" s="4" t="str">
        <x:v>Search result anti-scraping and personalization</x:v>
      </x:c>
      <x:c r="K63" s="4" t="str">
        <x:v>technical/policy barrier</x:v>
      </x:c>
      <x:c r="L63" s="4" t="str">
        <x:v>Search result pages are dynamic, personalized and bot-restricted; tools should use search APIs instead.</x:v>
      </x:c>
      <x:c r="M63" s="4" t="str">
        <x:v>https://www.google.com/robots.txt</x:v>
      </x:c>
      <x:c r="N63" s="4" t="str">
        <x:v>2026-05-13</x:v>
      </x:c>
      <x:c r="O63" s="4" t="str">
        <x:v>Ask for a web search through the assistant rather than providing a Google SERP URL.</x:v>
      </x:c>
      <x:c r="P63" s="4" t="str">
        <x:v>High</x:v>
      </x:c>
      <x:c r="Q63" s="4" t="str">
        <x:v>SERP snapshots are not stable sources.</x:v>
      </x:c>
    </x:row>
    <x:row r="64">
      <x:c r="A64" s="4" t="n">
        <x:v>63</x:v>
      </x:c>
      <x:c r="B64" s="4" t="str">
        <x:v>GitHub private repositories</x:v>
      </x:c>
      <x:c r="C64" s="4" t="str">
        <x:v>github.com</x:v>
      </x:c>
      <x:c r="D64" s="4" t="str">
        <x:v>Developer platform</x:v>
      </x:c>
      <x:c r="E64" s="4" t="str">
        <x:v>Global</x:v>
      </x:c>
      <x:c r="F64" s="4" t="str">
        <x:v>Auth-gated unless public</x:v>
      </x:c>
      <x:c r="G64" s="4" t="str">
        <x:v>Yes</x:v>
      </x:c>
      <x:c r="H64" s="4" t="str">
        <x:v>High</x:v>
      </x:c>
      <x:c r="I64" s="4" t="str">
        <x:v>N/A</x:v>
      </x:c>
      <x:c r="J64" s="4" t="str">
        <x:v>Private repo permissions</x:v>
      </x:c>
      <x:c r="K64" s="4" t="str">
        <x:v>auth barrier</x:v>
      </x:c>
      <x:c r="L64" s="4" t="str">
        <x:v>Private repositories require authenticated access; public GitHub usually works well.</x:v>
      </x:c>
      <x:c r="M64" s="4" t="str">
        <x:v>https://github.com/robots.txt</x:v>
      </x:c>
      <x:c r="N64" s="4" t="str">
        <x:v>2026-05-13</x:v>
      </x:c>
      <x:c r="O64" s="4" t="str">
        <x:v>Use a connector, make repo public, or upload relevant files.</x:v>
      </x:c>
      <x:c r="P64" s="4" t="str">
        <x:v>High</x:v>
      </x:c>
      <x:c r="Q64" s="4" t="str">
        <x:v>Public raw files are generally better than rendered pages.</x:v>
      </x:c>
    </x:row>
    <x:row r="65">
      <x:c r="A65" s="4" t="n">
        <x:v>64</x:v>
      </x:c>
      <x:c r="B65" s="4" t="str">
        <x:v>GitHub issues behind org/private access</x:v>
      </x:c>
      <x:c r="C65" s="4" t="str">
        <x:v>github.com</x:v>
      </x:c>
      <x:c r="D65" s="4" t="str">
        <x:v>Developer platform</x:v>
      </x:c>
      <x:c r="E65" s="4" t="str">
        <x:v>Global</x:v>
      </x:c>
      <x:c r="F65" s="4" t="str">
        <x:v>Auth-gated unless public</x:v>
      </x:c>
      <x:c r="G65" s="4" t="str">
        <x:v>Yes</x:v>
      </x:c>
      <x:c r="H65" s="4" t="str">
        <x:v>High</x:v>
      </x:c>
      <x:c r="I65" s="4" t="str">
        <x:v>N/A</x:v>
      </x:c>
      <x:c r="J65" s="4" t="str">
        <x:v>Private org/repo permissions</x:v>
      </x:c>
      <x:c r="K65" s="4" t="str">
        <x:v>auth barrier</x:v>
      </x:c>
      <x:c r="L65" s="4" t="str">
        <x:v>Private issues, PRs and discussions require authenticated org/repo permissions.</x:v>
      </x:c>
      <x:c r="M65" s="4" t="str">
        <x:v>https://github.com/robots.txt</x:v>
      </x:c>
      <x:c r="N65" s="4" t="str">
        <x:v>2026-05-13</x:v>
      </x:c>
      <x:c r="O65" s="4" t="str">
        <x:v>Use connector/export or paste issue/PR text.</x:v>
      </x:c>
      <x:c r="P65" s="4" t="str">
        <x:v>High</x:v>
      </x:c>
      <x:c r="Q65" s="4" t="str">
        <x:v>Public issues generally work.</x:v>
      </x:c>
    </x:row>
    <x:row r="66">
      <x:c r="A66" s="4" t="n">
        <x:v>65</x:v>
      </x:c>
      <x:c r="B66" s="4" t="str">
        <x:v>Notion public pages</x:v>
      </x:c>
      <x:c r="C66" s="4" t="str">
        <x:v>notion.site</x:v>
      </x:c>
      <x:c r="D66" s="4" t="str">
        <x:v>Docs / public pages</x:v>
      </x:c>
      <x:c r="E66" s="4" t="str">
        <x:v>Global</x:v>
      </x:c>
      <x:c r="F66" s="4" t="str">
        <x:v>Mixed / JS-rendered</x:v>
      </x:c>
      <x:c r="G66" s="4" t="str">
        <x:v>Partial</x:v>
      </x:c>
      <x:c r="H66" s="4" t="str">
        <x:v>Medium</x:v>
      </x:c>
      <x:c r="I66" s="4" t="str">
        <x:v>Unknown</x:v>
      </x:c>
      <x:c r="J66" s="4" t="str">
        <x:v>JS rendering and blocks/images</x:v>
      </x:c>
      <x:c r="K66" s="4" t="str">
        <x:v>technical barrier</x:v>
      </x:c>
      <x:c r="L66" s="4" t="str">
        <x:v>Public Notion pages can render through JS and may not expose full block content to simple fetch.</x:v>
      </x:c>
      <x:c r="M66" s="4" t="str">
        <x:v>https://www.notion.so/robots.txt</x:v>
      </x:c>
      <x:c r="N66" s="4" t="str">
        <x:v>2026-05-13</x:v>
      </x:c>
      <x:c r="O66" s="4" t="str">
        <x:v>Export Markdown/PDF; use a static public page if possible.</x:v>
      </x:c>
      <x:c r="P66" s="4" t="str">
        <x:v>Medium</x:v>
      </x:c>
      <x:c r="Q66" s="4" t="str">
        <x:v>Private pages are auth-gated.</x:v>
      </x:c>
    </x:row>
    <x:row r="67">
      <x:c r="A67" s="4" t="n">
        <x:v>66</x:v>
      </x:c>
      <x:c r="B67" s="4" t="str">
        <x:v>Google Maps</x:v>
      </x:c>
      <x:c r="C67" s="4" t="str">
        <x:v>google.com/maps</x:v>
      </x:c>
      <x:c r="D67" s="4" t="str">
        <x:v>Maps / local search</x:v>
      </x:c>
      <x:c r="E67" s="4" t="str">
        <x:v>Global</x:v>
      </x:c>
      <x:c r="F67" s="4" t="str">
        <x:v>Usually inaccessible / not suitable</x:v>
      </x:c>
      <x:c r="G67" s="4" t="str">
        <x:v>Yes</x:v>
      </x:c>
      <x:c r="H67" s="4" t="str">
        <x:v>High</x:v>
      </x:c>
      <x:c r="I67" s="4" t="str">
        <x:v>N/A</x:v>
      </x:c>
      <x:c r="J67" s="4" t="str">
        <x:v>JS app; anti-scraping; ToS</x:v>
      </x:c>
      <x:c r="K67" s="4" t="str">
        <x:v>technical/policy barrier</x:v>
      </x:c>
      <x:c r="L67" s="4" t="str">
        <x:v>Maps listings/reviews are dynamic, region/personalization-heavy and not appropriate as simple page fetches.</x:v>
      </x:c>
      <x:c r="M67" s="4" t="str">
        <x:v>https://www.google.com/robots.txt</x:v>
      </x:c>
      <x:c r="N67" s="4" t="str">
        <x:v>2026-05-13</x:v>
      </x:c>
      <x:c r="O67" s="4" t="str">
        <x:v>Use the assistant’s local/search tools or provide specific place links/details.</x:v>
      </x:c>
      <x:c r="P67" s="4" t="str">
        <x:v>High</x:v>
      </x:c>
      <x:c r="Q67" s="4" t="str">
        <x:v>Local data changes often.</x:v>
      </x:c>
    </x:row>
    <x:row r="68">
      <x:c r="A68" s="4" t="n">
        <x:v>67</x:v>
      </x:c>
      <x:c r="B68" s="4" t="str">
        <x:v>IMDb</x:v>
      </x:c>
      <x:c r="C68" s="4" t="str">
        <x:v>imdb.com</x:v>
      </x:c>
      <x:c r="D68" s="4" t="str">
        <x:v>Entertainment database</x:v>
      </x:c>
      <x:c r="E68" s="4" t="str">
        <x:v>Global</x:v>
      </x:c>
      <x:c r="F68" s="4" t="str">
        <x:v>Unreliable / mixed</x:v>
      </x:c>
      <x:c r="G68" s="4" t="str">
        <x:v>Partial</x:v>
      </x:c>
      <x:c r="H68" s="4" t="str">
        <x:v>Medium</x:v>
      </x:c>
      <x:c r="I68" s="4" t="str">
        <x:v>Unknown</x:v>
      </x:c>
      <x:c r="J68" s="4" t="str">
        <x:v>Dynamic pages; bot controls possible</x:v>
      </x:c>
      <x:c r="K68" s="4" t="str">
        <x:v>unverified</x:v>
      </x:c>
      <x:c r="L68" s="4" t="str">
        <x:v>IMDb pages may be public but can be dynamic and bot-protected; not verified in this run.</x:v>
      </x:c>
      <x:c r="M68" s="4" t="str">
        <x:v>https://www.imdb.com/robots.txt</x:v>
      </x:c>
      <x:c r="N68" s="4" t="str">
        <x:v>2026-05-13</x:v>
      </x:c>
      <x:c r="O68" s="4" t="str">
        <x:v>Use public data snippets or paste details.</x:v>
      </x:c>
      <x:c r="P68" s="4" t="str">
        <x:v>Low</x:v>
      </x:c>
      <x:c r="Q68" s="4" t="str">
        <x:v>Needs fresh verification.</x:v>
      </x:c>
    </x:row>
    <x:row r="69">
      <x:c r="A69" s="4" t="n">
        <x:v>68</x:v>
      </x:c>
      <x:c r="B69" s="4" t="str">
        <x:v>Goodreads</x:v>
      </x:c>
      <x:c r="C69" s="4" t="str">
        <x:v>goodreads.com</x:v>
      </x:c>
      <x:c r="D69" s="4" t="str">
        <x:v>Books / social reviews</x:v>
      </x:c>
      <x:c r="E69" s="4" t="str">
        <x:v>Global</x:v>
      </x:c>
      <x:c r="F69" s="4" t="str">
        <x:v>Unreliable / mixed</x:v>
      </x:c>
      <x:c r="G69" s="4" t="str">
        <x:v>Partial</x:v>
      </x:c>
      <x:c r="H69" s="4" t="str">
        <x:v>Medium</x:v>
      </x:c>
      <x:c r="I69" s="4" t="str">
        <x:v>Unknown</x:v>
      </x:c>
      <x:c r="J69" s="4" t="str">
        <x:v>Login/social/reviews; Amazon-owned bot controls possible</x:v>
      </x:c>
      <x:c r="K69" s="4" t="str">
        <x:v>unverified</x:v>
      </x:c>
      <x:c r="L69" s="4" t="str">
        <x:v>Reviews/lists often require login/session and dynamic rendering; not verified in this run.</x:v>
      </x:c>
      <x:c r="M69" s="4" t="str">
        <x:v>https://www.goodreads.com/robots.txt</x:v>
      </x:c>
      <x:c r="N69" s="4" t="str">
        <x:v>2026-05-13</x:v>
      </x:c>
      <x:c r="O69" s="4" t="str">
        <x:v>Paste reviews/list text or use exported data.</x:v>
      </x:c>
      <x:c r="P69" s="4" t="str">
        <x:v>Low</x:v>
      </x:c>
      <x:c r="Q69" s="4" t="str">
        <x:v>Needs fresh verification.</x:v>
      </x:c>
    </x:row>
    <x:row r="70">
      <x:c r="A70" s="4" t="n">
        <x:v>69</x:v>
      </x:c>
      <x:c r="B70" s="4" t="str">
        <x:v>Stack Overflow private Teams</x:v>
      </x:c>
      <x:c r="C70" s="4" t="str">
        <x:v>stackoverflowteams.com / stackoverflow.com</x:v>
      </x:c>
      <x:c r="D70" s="4" t="str">
        <x:v>Developer Q&amp;A / private team</x:v>
      </x:c>
      <x:c r="E70" s="4" t="str">
        <x:v>Global</x:v>
      </x:c>
      <x:c r="F70" s="4" t="str">
        <x:v>Auth-gated unless public</x:v>
      </x:c>
      <x:c r="G70" s="4" t="str">
        <x:v>Yes</x:v>
      </x:c>
      <x:c r="H70" s="4" t="str">
        <x:v>High</x:v>
      </x:c>
      <x:c r="I70" s="4" t="str">
        <x:v>N/A</x:v>
      </x:c>
      <x:c r="J70" s="4" t="str">
        <x:v>Private team permissions</x:v>
      </x:c>
      <x:c r="K70" s="4" t="str">
        <x:v>auth barrier</x:v>
      </x:c>
      <x:c r="L70" s="4" t="str">
        <x:v>Private Teams content requires authenticated permissions; public Stack Overflow pages usually work.</x:v>
      </x:c>
      <x:c r="M70" s="4" t="str">
        <x:v>https://stackoverflow.com/robots.txt</x:v>
      </x:c>
      <x:c r="N70" s="4" t="str">
        <x:v>2026-05-13</x:v>
      </x:c>
      <x:c r="O70" s="4" t="str">
        <x:v>Use public question URL or paste/export private content.</x:v>
      </x:c>
      <x:c r="P70" s="4" t="str">
        <x:v>High</x:v>
      </x:c>
      <x:c r="Q70" s="4" t="str">
        <x:v>Public Stack Overflow is usually accessible.</x:v>
      </x:c>
    </x:row>
    <x:row r="71">
      <x:c r="A71" s="4" t="n">
        <x:v>70</x:v>
      </x:c>
      <x:c r="B71" s="4" t="str">
        <x:v>ResearchGate</x:v>
      </x:c>
      <x:c r="C71" s="4" t="str">
        <x:v>researchgate.net</x:v>
      </x:c>
      <x:c r="D71" s="4" t="str">
        <x:v>Academic social</x:v>
      </x:c>
      <x:c r="E71" s="4" t="str">
        <x:v>Global</x:v>
      </x:c>
      <x:c r="F71" s="4" t="str">
        <x:v>Auth-gated / unreliable</x:v>
      </x:c>
      <x:c r="G71" s="4" t="str">
        <x:v>Partial</x:v>
      </x:c>
      <x:c r="H71" s="4" t="str">
        <x:v>Medium</x:v>
      </x:c>
      <x:c r="I71" s="4" t="str">
        <x:v>Unknown</x:v>
      </x:c>
      <x:c r="J71" s="4" t="str">
        <x:v>Login wall; PDFs often gated</x:v>
      </x:c>
      <x:c r="K71" s="4" t="str">
        <x:v>auth barrier</x:v>
      </x:c>
      <x:c r="L71" s="4" t="str">
        <x:v>Papers/profiles often require login or publisher access; PDFs may not be publicly reachable.</x:v>
      </x:c>
      <x:c r="M71" s="4" t="str">
        <x:v>https://www.researchgate.net/robots.txt</x:v>
      </x:c>
      <x:c r="N71" s="4" t="str">
        <x:v>2026-05-13</x:v>
      </x:c>
      <x:c r="O71" s="4" t="str">
        <x:v>Use DOI, arXiv, publisher PDF, or upload the paper.</x:v>
      </x:c>
      <x:c r="P71" s="4" t="str">
        <x:v>Medium</x:v>
      </x:c>
      <x:c r="Q71" s="4" t="str">
        <x:v>Prefer primary research PDFs.</x:v>
      </x:c>
    </x:row>
  </x:sheetData>
  <x:conditionalFormatting sqref="H2:H71">
    <x:cfRule type="expression" dxfId="0" priority="1">
      <x:formula>H2="High"</x:formula>
    </x:cfRule>
    <x:cfRule type="expression" dxfId="1" priority="2">
      <x:formula>H2="Medium"</x:formula>
    </x:cfRule>
    <x:cfRule type="expression" dxfId="2" priority="3">
      <x:formula>H2="Low"</x:formula>
    </x:cfRule>
  </x:conditionalFormatting>
  <x:conditionalFormatting sqref="P2:P71">
    <x:cfRule type="expression" dxfId="3" priority="4">
      <x:formula>P2="High"</x:formula>
    </x:cfRule>
    <x:cfRule type="expression" dxfId="4" priority="5">
      <x:formula>P2="Medium"</x:formula>
    </x:cfRule>
    <x:cfRule type="expression" dxfId="5" priority="6">
      <x:formula>P2="Low"</x:formula>
    </x:cfRule>
  </x:conditionalFormatting>
  <x:conditionalFormatting sqref="F2:F71">
    <x:cfRule type="expression" dxfId="7" priority="8">
      <x:formula>ISNUMBER(SEARCH("Confirmed",F2))</x:formula>
    </x:cfRule>
  </x:conditionalFormatting>
  <x:conditionalFormatting sqref="G2:G71">
    <x:cfRule type="expression" dxfId="8" priority="9">
      <x:formula>G2="Yes"</x:formula>
    </x:cfRule>
    <x:cfRule type="expression" dxfId="9" priority="10">
      <x:formula>G2="Partial"</x:formula>
    </x:cfRule>
    <x:cfRule type="expression" dxfId="10" priority="11">
      <x:formula>G2="Unknown"</x:formula>
    </x:cfRule>
  </x:conditionalFormatting>
  <x:dataValidations count="3">
    <x:dataValidation type="list" sqref="H2:H71">
      <x:formula1>"High,Medium,Low"</x:formula1>
    </x:dataValidation>
    <x:dataValidation type="list" sqref="P2:P71">
      <x:formula1>"High,Medium,Low"</x:formula1>
    </x:dataValidation>
    <x:dataValidation type="list" sqref="G2:G71">
      <x:formula1>"Yes,Partial,Unknown"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53f5ac6f83434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28" customHeight="1">
      <x:c r="A1" s="17" t="str">
        <x:v>Claude inaccessible / unreliable sites dataset</x:v>
      </x:c>
      <x:c r="B1" s="17" t="str"/>
    </x:row>
    <x:row r="2">
      <x:c r="A2" s="23" t="str">
        <x:v>Generated</x:v>
      </x:c>
      <x:c r="B2" s="4" t="str">
        <x:v>2026-05-13</x:v>
      </x:c>
    </x:row>
    <x:row r="3">
      <x:c r="A3" s="23" t="str">
        <x:v>Purpose</x:v>
      </x:c>
      <x:c r="B3" s="4" t="str">
        <x:v>Practical dataset of major websites that Claude may fail to fetch directly, separated by evidence and confidence.</x:v>
      </x:c>
    </x:row>
    <x:row r="4">
      <x:c r="A4" s="23" t="str">
        <x:v>Important nuance</x:v>
      </x:c>
      <x:c r="B4" s="4" t="str">
        <x:v>ClaudeBot blocks affect training/crawling; Claude-User blocks directly affect user-requested live retrieval. A ClaudeBot-only block is not the same as a Claude-User live-fetch block.</x:v>
      </x:c>
    </x:row>
    <x:row r="5">
      <x:c r="A5" s="23" t="str">
        <x:v>Scope</x:v>
      </x:c>
      <x:c r="B5" s="4" t="str">
        <x:v>This is an access-risk dataset, not a legally definitive list. Robots.txt and site defenses change frequently.</x:v>
      </x:c>
    </x:row>
    <x:row r="6">
      <x:c r="A6" s="23" t="str">
        <x:v>Best primary format</x:v>
      </x:c>
      <x:c r="B6" s="4" t="str">
        <x:v>XLSX for analysis, filters, confidence/risk coloring, notes and summary. CSV for raw import/GitHub.</x:v>
      </x:c>
    </x:row>
    <x:row r="7">
      <x:c r="A7" s="23" t="str">
        <x:v>Method</x:v>
      </x:c>
      <x:c r="B7" s="4" t="str">
        <x:v>Rows were populated from robots.txt checks, official Anthropic/Cloudflare docs, and public reporting. Low-confidence rows are labeled.</x:v>
      </x:c>
    </x:row>
    <x:row r="8">
      <x:c r="A8" s="23" t="str">
        <x:v>Recommended update cadence</x:v>
      </x:c>
      <x:c r="B8" s="4" t="str">
        <x:v>Re-check robots.txt monthly or before publishing any benchmark.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>
      <x:c r="A1" s="9" t="str">
        <x:v>Metric</x:v>
      </x:c>
      <x:c r="B1" s="9" t="str">
        <x:v>Formula / value</x:v>
      </x:c>
    </x:row>
    <x:row r="2">
      <x:c r="A2" s="4" t="str">
        <x:v>Total sites</x:v>
      </x:c>
      <x:c r="B2" s="34" t="n">
        <x:f>COUNTA(Dataset!B2:B71)</x:f>
        <x:v>70</x:v>
      </x:c>
    </x:row>
    <x:row r="3">
      <x:c r="A3" s="4" t="str">
        <x:v>High risk rows</x:v>
      </x:c>
      <x:c r="B3" s="34" t="n">
        <x:f>COUNTIF(Dataset!H2:H71,"High")</x:f>
        <x:v>40</x:v>
      </x:c>
    </x:row>
    <x:row r="4">
      <x:c r="A4" s="4" t="str">
        <x:v>Medium risk rows</x:v>
      </x:c>
      <x:c r="B4" s="34" t="n">
        <x:f>COUNTIF(Dataset!H2:H71,"Medium")</x:f>
        <x:v>30</x:v>
      </x:c>
    </x:row>
    <x:row r="5">
      <x:c r="A5" s="4" t="str">
        <x:v>Low risk rows</x:v>
      </x:c>
      <x:c r="B5" s="34" t="n">
        <x:f>COUNTIF(Dataset!H2:H71,"Low")</x:f>
        <x:v>0</x:v>
      </x:c>
    </x:row>
    <x:row r="6">
      <x:c r="A6" s="4" t="str">
        <x:v>High confidence rows</x:v>
      </x:c>
      <x:c r="B6" s="34" t="n">
        <x:f>COUNTIF(Dataset!P2:P71,"High")</x:f>
        <x:v>31</x:v>
      </x:c>
    </x:row>
    <x:row r="7">
      <x:c r="A7" s="4" t="str">
        <x:v>Medium confidence rows</x:v>
      </x:c>
      <x:c r="B7" s="34" t="n">
        <x:f>COUNTIF(Dataset!P2:P71,"Medium")</x:f>
        <x:v>31</x:v>
      </x:c>
    </x:row>
    <x:row r="8">
      <x:c r="A8" s="4" t="str">
        <x:v>Low confidence rows</x:v>
      </x:c>
      <x:c r="B8" s="34" t="n">
        <x:f>COUNTIF(Dataset!P2:P71,"Low")</x:f>
        <x:v>8</x:v>
      </x:c>
    </x:row>
    <x:row r="9">
      <x:c r="A9" s="4" t="str">
        <x:v>Rows with live fetch likely impacted</x:v>
      </x:c>
      <x:c r="B9" s="34" t="n">
        <x:f>COUNTIF(Dataset!G2:G71,"Yes")</x:f>
        <x:v>29</x:v>
      </x:c>
    </x:row>
    <x:row r="10">
      <x:c r="A10" s="4" t="str">
        <x:v>Rows with partial/mixed live impact</x:v>
      </x:c>
      <x:c r="B10" s="34" t="n">
        <x:f>COUNTIF(Dataset!G2:G71,"Partial")</x:f>
        <x:v>41</x:v>
      </x:c>
    </x:row>
    <x:row r="11">
      <x:c r="A11" s="4" t="str">
        <x:v>Rows checked date</x:v>
      </x:c>
      <x:c r="B11" s="34" t="str">
        <x:v>2026-05-13</x:v>
      </x:c>
    </x:row>
    <x:row r="12">
      <x:c r="A12" s="4"/>
      <x:c r="B12" s="34"/>
    </x:row>
    <x:row r="13">
      <x:c r="A13" s="4"/>
      <x:c r="B13" s="34"/>
    </x:row>
    <x:row r="14">
      <x:c r="A14" s="29" t="str">
        <x:v>Category</x:v>
      </x:c>
      <x:c r="B14" s="29" t="str">
        <x:v>Count</x:v>
      </x:c>
    </x:row>
    <x:row r="15">
      <x:c r="A15" s="4" t="str">
        <x:v>Academic social</x:v>
      </x:c>
      <x:c r="B15" s="34" t="n">
        <x:f>COUNTIF(Dataset!D2:D71,A15)</x:f>
        <x:v>1</x:v>
      </x:c>
    </x:row>
    <x:row r="16">
      <x:c r="A16" s="4" t="str">
        <x:v>Audio / streaming</x:v>
      </x:c>
      <x:c r="B16" s="34" t="n">
        <x:f>COUNTIF(Dataset!D2:D71,A16)</x:f>
        <x:v>1</x:v>
      </x:c>
    </x:row>
    <x:row r="17">
      <x:c r="A17" s="4" t="str">
        <x:v>Books / social reviews</x:v>
      </x:c>
      <x:c r="B17" s="34" t="n">
        <x:f>COUNTIF(Dataset!D2:D71,A17)</x:f>
        <x:v>1</x:v>
      </x:c>
    </x:row>
    <x:row r="18">
      <x:c r="A18" s="4" t="str">
        <x:v>Creator subscription</x:v>
      </x:c>
      <x:c r="B18" s="34" t="n">
        <x:f>COUNTIF(Dataset!D2:D71,A18)</x:f>
        <x:v>1</x:v>
      </x:c>
    </x:row>
    <x:row r="19">
      <x:c r="A19" s="4" t="str">
        <x:v>Design / SaaS</x:v>
      </x:c>
      <x:c r="B19" s="34" t="n">
        <x:f>COUNTIF(Dataset!D2:D71,A19)</x:f>
        <x:v>1</x:v>
      </x:c>
    </x:row>
    <x:row r="20">
      <x:c r="A20" s="4" t="str">
        <x:v>Developer Q&amp;A / private team</x:v>
      </x:c>
      <x:c r="B20" s="34" t="n">
        <x:f>COUNTIF(Dataset!D2:D71,A20)</x:f>
        <x:v>1</x:v>
      </x:c>
    </x:row>
    <x:row r="21">
      <x:c r="A21" s="4" t="str">
        <x:v>Developer docs</x:v>
      </x:c>
      <x:c r="B21" s="34" t="n">
        <x:f>COUNTIF(Dataset!D2:D71,A21)</x:f>
        <x:v>1</x:v>
      </x:c>
    </x:row>
    <x:row r="22">
      <x:c r="A22" s="4" t="str">
        <x:v>Developer platform</x:v>
      </x:c>
      <x:c r="B22" s="34" t="n">
        <x:f>COUNTIF(Dataset!D2:D71,A22)</x:f>
        <x:v>2</x:v>
      </x:c>
    </x:row>
    <x:row r="23">
      <x:c r="A23" s="4" t="str">
        <x:v>Docs / cloud files</x:v>
      </x:c>
      <x:c r="B23" s="34" t="n">
        <x:f>COUNTIF(Dataset!D2:D71,A23)</x:f>
        <x:v>1</x:v>
      </x:c>
    </x:row>
    <x:row r="24">
      <x:c r="A24" s="4" t="str">
        <x:v>Docs / public pages</x:v>
      </x:c>
      <x:c r="B24" s="34" t="n">
        <x:f>COUNTIF(Dataset!D2:D71,A24)</x:f>
        <x:v>1</x:v>
      </x:c>
    </x:row>
    <x:row r="25">
      <x:c r="A25" s="4" t="str">
        <x:v>Docs / workspace</x:v>
      </x:c>
      <x:c r="B25" s="34" t="n">
        <x:f>COUNTIF(Dataset!D2:D71,A25)</x:f>
        <x:v>1</x:v>
      </x:c>
    </x:row>
    <x:row r="26">
      <x:c r="A26" s="4" t="str">
        <x:v>E-commerce</x:v>
      </x:c>
      <x:c r="B26" s="34" t="n">
        <x:f>COUNTIF(Dataset!D2:D71,A26)</x:f>
        <x:v>5</x:v>
      </x:c>
    </x:row>
    <x:row r="27">
      <x:c r="A27" s="4" t="str">
        <x:v>E-commerce / fashion</x:v>
      </x:c>
      <x:c r="B27" s="34" t="n">
        <x:f>COUNTIF(Dataset!D2:D71,A27)</x:f>
        <x:v>2</x:v>
      </x:c>
    </x:row>
    <x:row r="28">
      <x:c r="A28" s="4" t="str">
        <x:v>Entertainment database</x:v>
      </x:c>
      <x:c r="B28" s="34" t="n">
        <x:f>COUNTIF(Dataset!D2:D71,A28)</x:f>
        <x:v>1</x:v>
      </x:c>
    </x:row>
    <x:row r="29">
      <x:c r="A29" s="4" t="str">
        <x:v>Entertainment news</x:v>
      </x:c>
      <x:c r="B29" s="34" t="n">
        <x:f>COUNTIF(Dataset!D2:D71,A29)</x:f>
        <x:v>2</x:v>
      </x:c>
    </x:row>
    <x:row r="30">
      <x:c r="A30" s="4" t="str">
        <x:v>Magazine / science</x:v>
      </x:c>
      <x:c r="B30" s="34" t="n">
        <x:f>COUNTIF(Dataset!D2:D71,A30)</x:f>
        <x:v>1</x:v>
      </x:c>
    </x:row>
    <x:row r="31">
      <x:c r="A31" s="4" t="str">
        <x:v>Maps / local search</x:v>
      </x:c>
      <x:c r="B31" s="34" t="n">
        <x:f>COUNTIF(Dataset!D2:D71,A31)</x:f>
        <x:v>1</x:v>
      </x:c>
    </x:row>
    <x:row r="32">
      <x:c r="A32" s="4" t="str">
        <x:v>Marketplace</x:v>
      </x:c>
      <x:c r="B32" s="34" t="n">
        <x:f>COUNTIF(Dataset!D2:D71,A32)</x:f>
        <x:v>1</x:v>
      </x:c>
    </x:row>
    <x:row r="33">
      <x:c r="A33" s="4" t="str">
        <x:v>Marketplace / e-commerce</x:v>
      </x:c>
      <x:c r="B33" s="34" t="n">
        <x:f>COUNTIF(Dataset!D2:D71,A33)</x:f>
        <x:v>1</x:v>
      </x:c>
    </x:row>
    <x:row r="34">
      <x:c r="A34" s="4" t="str">
        <x:v>News / TV</x:v>
      </x:c>
      <x:c r="B34" s="34" t="n">
        <x:f>COUNTIF(Dataset!D2:D71,A34)</x:f>
        <x:v>1</x:v>
      </x:c>
    </x:row>
    <x:row r="35">
      <x:c r="A35" s="4" t="str">
        <x:v>News / business</x:v>
      </x:c>
      <x:c r="B35" s="34" t="n">
        <x:f>COUNTIF(Dataset!D2:D71,A35)</x:f>
        <x:v>4</x:v>
      </x:c>
    </x:row>
    <x:row r="36">
      <x:c r="A36" s="4" t="str">
        <x:v>News / concise</x:v>
      </x:c>
      <x:c r="B36" s="34" t="n">
        <x:f>COUNTIF(Dataset!D2:D71,A36)</x:f>
        <x:v>1</x:v>
      </x:c>
    </x:row>
    <x:row r="37">
      <x:c r="A37" s="4" t="str">
        <x:v>News / explainer</x:v>
      </x:c>
      <x:c r="B37" s="34" t="n">
        <x:f>COUNTIF(Dataset!D2:D71,A37)</x:f>
        <x:v>1</x:v>
      </x:c>
    </x:row>
    <x:row r="38">
      <x:c r="A38" s="4" t="str">
        <x:v>News / finance</x:v>
      </x:c>
      <x:c r="B38" s="34" t="n">
        <x:f>COUNTIF(Dataset!D2:D71,A38)</x:f>
        <x:v>1</x:v>
      </x:c>
    </x:row>
    <x:row r="39">
      <x:c r="A39" s="4" t="str">
        <x:v>News / health/science</x:v>
      </x:c>
      <x:c r="B39" s="34" t="n">
        <x:f>COUNTIF(Dataset!D2:D71,A39)</x:f>
        <x:v>1</x:v>
      </x:c>
    </x:row>
    <x:row r="40">
      <x:c r="A40" s="4" t="str">
        <x:v>News / magazine</x:v>
      </x:c>
      <x:c r="B40" s="34" t="n">
        <x:f>COUNTIF(Dataset!D2:D71,A40)</x:f>
        <x:v>3</x:v>
      </x:c>
    </x:row>
    <x:row r="41">
      <x:c r="A41" s="4" t="str">
        <x:v>News / newspaper</x:v>
      </x:c>
      <x:c r="B41" s="34" t="n">
        <x:f>COUNTIF(Dataset!D2:D71,A41)</x:f>
        <x:v>3</x:v>
      </x:c>
    </x:row>
    <x:row r="42">
      <x:c r="A42" s="4" t="str">
        <x:v>News / politics</x:v>
      </x:c>
      <x:c r="B42" s="34" t="n">
        <x:f>COUNTIF(Dataset!D2:D71,A42)</x:f>
        <x:v>1</x:v>
      </x:c>
    </x:row>
    <x:row r="43">
      <x:c r="A43" s="4" t="str">
        <x:v>News / public broadcaster</x:v>
      </x:c>
      <x:c r="B43" s="34" t="n">
        <x:f>COUNTIF(Dataset!D2:D71,A43)</x:f>
        <x:v>1</x:v>
      </x:c>
    </x:row>
    <x:row r="44">
      <x:c r="A44" s="4" t="str">
        <x:v>News / startups</x:v>
      </x:c>
      <x:c r="B44" s="34" t="n">
        <x:f>COUNTIF(Dataset!D2:D71,A44)</x:f>
        <x:v>1</x:v>
      </x:c>
    </x:row>
    <x:row r="45">
      <x:c r="A45" s="4" t="str">
        <x:v>News / tech</x:v>
      </x:c>
      <x:c r="B45" s="34" t="n">
        <x:f>COUNTIF(Dataset!D2:D71,A45)</x:f>
        <x:v>4</x:v>
      </x:c>
    </x:row>
    <x:row r="46">
      <x:c r="A46" s="4" t="str">
        <x:v>News / tech business</x:v>
      </x:c>
      <x:c r="B46" s="34" t="n">
        <x:f>COUNTIF(Dataset!D2:D71,A46)</x:f>
        <x:v>1</x:v>
      </x:c>
    </x:row>
    <x:row r="47">
      <x:c r="A47" s="4" t="str">
        <x:v>News / wire</x:v>
      </x:c>
      <x:c r="B47" s="34" t="n">
        <x:f>COUNTIF(Dataset!D2:D71,A47)</x:f>
        <x:v>2</x:v>
      </x:c>
    </x:row>
    <x:row r="48">
      <x:c r="A48" s="4" t="str">
        <x:v>Newsletter / blogs</x:v>
      </x:c>
      <x:c r="B48" s="34" t="n">
        <x:f>COUNTIF(Dataset!D2:D71,A48)</x:f>
        <x:v>1</x:v>
      </x:c>
    </x:row>
    <x:row r="49">
      <x:c r="A49" s="4" t="str">
        <x:v>Private/community chat</x:v>
      </x:c>
      <x:c r="B49" s="34" t="n">
        <x:f>COUNTIF(Dataset!D2:D71,A49)</x:f>
        <x:v>2</x:v>
      </x:c>
    </x:row>
    <x:row r="50">
      <x:c r="A50" s="4" t="str">
        <x:v>Professional social</x:v>
      </x:c>
      <x:c r="B50" s="34" t="n">
        <x:f>COUNTIF(Dataset!D2:D71,A50)</x:f>
        <x:v>1</x:v>
      </x:c>
    </x:row>
    <x:row r="51">
      <x:c r="A51" s="4" t="str">
        <x:v>Publishing / blogs</x:v>
      </x:c>
      <x:c r="B51" s="34" t="n">
        <x:f>COUNTIF(Dataset!D2:D71,A51)</x:f>
        <x:v>1</x:v>
      </x:c>
    </x:row>
    <x:row r="52">
      <x:c r="A52" s="4" t="str">
        <x:v>Q&amp;A / forum</x:v>
      </x:c>
      <x:c r="B52" s="34" t="n">
        <x:f>COUNTIF(Dataset!D2:D71,A52)</x:f>
        <x:v>1</x:v>
      </x:c>
    </x:row>
    <x:row r="53">
      <x:c r="A53" s="4" t="str">
        <x:v>Repair / wiki</x:v>
      </x:c>
      <x:c r="B53" s="34" t="n">
        <x:f>COUNTIF(Dataset!D2:D71,A53)</x:f>
        <x:v>1</x:v>
      </x:c>
    </x:row>
    <x:row r="54">
      <x:c r="A54" s="4" t="str">
        <x:v>Search engine results</x:v>
      </x:c>
      <x:c r="B54" s="34" t="n">
        <x:f>COUNTIF(Dataset!D2:D71,A54)</x:f>
        <x:v>1</x:v>
      </x:c>
    </x:row>
    <x:row r="55">
      <x:c r="A55" s="4" t="str">
        <x:v>Social / forum</x:v>
      </x:c>
      <x:c r="B55" s="34" t="n">
        <x:f>COUNTIF(Dataset!D2:D71,A55)</x:f>
        <x:v>1</x:v>
      </x:c>
    </x:row>
    <x:row r="56">
      <x:c r="A56" s="4" t="str">
        <x:v>Social / images</x:v>
      </x:c>
      <x:c r="B56" s="34" t="n">
        <x:f>COUNTIF(Dataset!D2:D71,A56)</x:f>
        <x:v>1</x:v>
      </x:c>
    </x:row>
    <x:row r="57">
      <x:c r="A57" s="4" t="str">
        <x:v>Social / media</x:v>
      </x:c>
      <x:c r="B57" s="34" t="n">
        <x:f>COUNTIF(Dataset!D2:D71,A57)</x:f>
        <x:v>2</x:v>
      </x:c>
    </x:row>
    <x:row r="58">
      <x:c r="A58" s="4" t="str">
        <x:v>Social / real-time</x:v>
      </x:c>
      <x:c r="B58" s="34" t="n">
        <x:f>COUNTIF(Dataset!D2:D71,A58)</x:f>
        <x:v>1</x:v>
      </x:c>
    </x:row>
    <x:row r="59">
      <x:c r="A59" s="4" t="str">
        <x:v>Social / video</x:v>
      </x:c>
      <x:c r="B59" s="34" t="n">
        <x:f>COUNTIF(Dataset!D2:D71,A59)</x:f>
        <x:v>1</x:v>
      </x:c>
    </x:row>
    <x:row r="60">
      <x:c r="A60" s="4" t="str">
        <x:v>Streaming</x:v>
      </x:c>
      <x:c r="B60" s="34" t="n">
        <x:f>COUNTIF(Dataset!D2:D71,A60)</x:f>
        <x:v>3</x:v>
      </x:c>
    </x:row>
    <x:row r="61">
      <x:c r="A61" s="4" t="str">
        <x:v>Streaming / live video</x:v>
      </x:c>
      <x:c r="B61" s="34" t="n">
        <x:f>COUNTIF(Dataset!D2:D71,A61)</x:f>
        <x:v>1</x:v>
      </x:c>
    </x:row>
    <x:row r="62">
      <x:c r="A62" s="4" t="str">
        <x:v>Video / social</x:v>
      </x:c>
      <x:c r="B62" s="34" t="n">
        <x:f>COUNTIF(Dataset!D2:D71,A62)</x:f>
        <x:v>1</x:v>
      </x:c>
    </x:row>
    <x:row r="63">
      <x:c r="A63" s="4"/>
      <x:c r="B63" s="34"/>
    </x:row>
    <x:row r="64">
      <x:c r="A64" s="4"/>
      <x:c r="B64" s="4"/>
    </x:row>
  </x:sheetData>
  <x:pageMargins left="0.7" right="0.7" top="0.75" bottom="0.75" header="0.3" footer="0.3"/>
  <x:tableParts count="1">
    <x:tablePart xmlns:r="http://schemas.openxmlformats.org/officeDocument/2006/relationships" r:id="Rc88445c439664e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2" hidden="0" customWidth="1"/>
  </x:cols>
  <x:sheetData>
    <x:row r="1">
      <x:c r="A1" s="9" t="str">
        <x:v>Field</x:v>
      </x:c>
      <x:c r="B1" s="9" t="str">
        <x:v>Meaning</x:v>
      </x:c>
    </x:row>
    <x:row r="2">
      <x:c r="A2" s="4" t="str">
        <x:v>Confirmed Claude live-fetch block</x:v>
      </x:c>
      <x:c r="B2" s="4" t="str">
        <x:v>Robots.txt explicitly blocks Claude-User or a wildcard block applies to unlisted bots including Claude-User.</x:v>
      </x:c>
    </x:row>
    <x:row r="3">
      <x:c r="A3" s="4" t="str">
        <x:v>Confirmed Claude crawler block</x:v>
      </x:c>
      <x:c r="B3" s="4" t="str">
        <x:v>Robots.txt blocks ClaudeBot/Claude-Web/anthropic-ai. This may affect training/search crawling more than live user-requested retrieval.</x:v>
      </x:c>
    </x:row>
    <x:row r="4">
      <x:c r="A4" s="4" t="str">
        <x:v>Likely blocked / unreliable</x:v>
      </x:c>
      <x:c r="B4" s="4" t="str">
        <x:v>Frequent failures expected due to login walls, anti-bot controls, dynamic JS, paywalls, or public reporting, but not a confirmed Claude-User robots block.</x:v>
      </x:c>
    </x:row>
    <x:row r="5">
      <x:c r="A5" s="4" t="str">
        <x:v>Auth-gated</x:v>
      </x:c>
      <x:c r="B5" s="4" t="str">
        <x:v>Requires account/session/permission; Claude cannot use your logged-in browser session by default.</x:v>
      </x:c>
    </x:row>
    <x:row r="6">
      <x:c r="A6" s="4" t="str">
        <x:v>Paywall/subscription-gated</x:v>
      </x:c>
      <x:c r="B6" s="4" t="str">
        <x:v>Content requires subscription or paid membership; direct fetches may fail or retrieve only teaser text.</x:v>
      </x:c>
    </x:row>
    <x:row r="7">
      <x:c r="A7" s="4" t="str">
        <x:v>Confidence: High</x:v>
      </x:c>
      <x:c r="B7" s="4" t="str">
        <x:v>Direct robots.txt/policy evidence was visible and unambiguous.</x:v>
      </x:c>
    </x:row>
    <x:row r="8">
      <x:c r="A8" s="4" t="str">
        <x:v>Confidence: Medium</x:v>
      </x:c>
      <x:c r="B8" s="4" t="str">
        <x:v>Evidence is partial, third-party, or strongly inferable from observed/tool behavior.</x:v>
      </x:c>
    </x:row>
    <x:row r="9">
      <x:c r="A9" s="4" t="str">
        <x:v>Confidence: Low</x:v>
      </x:c>
      <x:c r="B9" s="4" t="str">
        <x:v>Included as important access-risk target but needs fresh verification.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b6716f4520fd4ba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  <x:col min="3" max="3" width="72" hidden="0" customWidth="1"/>
  </x:cols>
  <x:sheetData>
    <x:row r="1">
      <x:c r="A1" s="9" t="str">
        <x:v>Source</x:v>
      </x:c>
      <x:c r="B1" s="9" t="str">
        <x:v>Why included</x:v>
      </x:c>
      <x:c r="C1" s="9" t="str">
        <x:v>URL</x:v>
      </x:c>
    </x:row>
    <x:row r="2">
      <x:c r="A2" s="4" t="str">
        <x:v>Anthropic bot documentation</x:v>
      </x:c>
      <x:c r="B2" s="4" t="str">
        <x:v>Explains ClaudeBot, Claude-User, Claude-SearchBot and effects of disabling them</x:v>
      </x:c>
      <x:c r="C2" s="4" t="str">
        <x:v>https://privacy.claude.com/en/articles/8896518-does-anthropic-crawl-data-from-the-web-and-how-can-site-owners-block-the-crawler</x:v>
      </x:c>
    </x:row>
    <x:row r="3">
      <x:c r="A3" s="4" t="str">
        <x:v>Cloudflare managed robots.txt</x:v>
      </x:c>
      <x:c r="B3" s="4" t="str">
        <x:v>Explains Cloudflare can add AI crawler disallow rules like ClaudeBot</x:v>
      </x:c>
      <x:c r="C3" s="4" t="str">
        <x:v>https://developers.cloudflare.com/bots/additional-configurations/managed-robots-txt/</x:v>
      </x:c>
    </x:row>
    <x:row r="4">
      <x:c r="A4" s="4" t="str">
        <x:v>Cloudflare AI Crawl Control</x:v>
      </x:c>
      <x:c r="B4" s="4" t="str">
        <x:v>Explains enforcement beyond voluntary robots.txt</x:v>
      </x:c>
      <x:c r="C4" s="4" t="str">
        <x:v>https://developers.cloudflare.com/ai-crawl-control/</x:v>
      </x:c>
    </x:row>
    <x:row r="5">
      <x:c r="A5" s="4" t="str">
        <x:v>Claude web search help</x:v>
      </x:c>
      <x:c r="B5" s="4" t="str">
        <x:v>Claude web search behavior and limits</x:v>
      </x:c>
      <x:c r="C5" s="4" t="str">
        <x:v>https://support.claude.com/en/articles/10684626-enabling-and-using-web-search</x:v>
      </x:c>
    </x:row>
    <x:row r="6">
      <x:c r="A6" s="4" t="str">
        <x:v>The Verge report on Reddit crawl restrictions</x:v>
      </x:c>
      <x:c r="B6" s="4" t="str">
        <x:v>Reports Reddit requiring deals / blocking non-partner crawlers incl. Anthropic</x:v>
      </x:c>
      <x:c r="C6" s="4" t="str">
        <x:v>https://www.theverge.com/2024/7/31/24210565/reddit-microsoft-anthropic-perplexity-pay-ai-search</x:v>
      </x:c>
    </x:row>
    <x:row r="7">
      <x:c r="A7" s="4" t="str">
        <x:v>The Verge report on ClaudeBot scraping incidents</x:v>
      </x:c>
      <x:c r="B7" s="4" t="str">
        <x:v>Reports iFixit, Read the Docs, Freelancer.com issues and robots response</x:v>
      </x:c>
      <x:c r="C7" s="4" t="str">
        <x:v>https://www.theverge.com/2024/7/25/24205943/anthropic-ai-web-crawler-claudebot-ifixit-scraping-training-data</x:v>
      </x:c>
    </x:row>
    <x:row r="8">
      <x:c r="A8" s="4" t="str">
        <x:v>BuzzStream publisher AI crawler study</x:v>
      </x:c>
      <x:c r="B8" s="4" t="str">
        <x:v>Aggregated publisher robots.txt study showing widespread blocking of Claude bots</x:v>
      </x:c>
      <x:c r="C8" s="4" t="str">
        <x:v>https://www.buzzstream.com/blog/publishers-block-ai-study/</x:v>
      </x:c>
    </x:row>
  </x:sheetData>
  <x:pageMargins left="0.7" right="0.7" top="0.75" bottom="0.75" header="0.3" footer="0.3"/>
  <x:tableParts count="1">
    <x:tablePart xmlns:r="http://schemas.openxmlformats.org/officeDocument/2006/relationships" r:id="Rd91656dce0c94ed5"/>
  </x:tableParts>
</x:worksheet>
</file>